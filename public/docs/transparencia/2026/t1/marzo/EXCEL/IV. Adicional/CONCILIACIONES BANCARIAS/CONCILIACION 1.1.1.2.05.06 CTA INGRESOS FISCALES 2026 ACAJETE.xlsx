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CAJETE 2026-2029\03.- ESTADOS FINANCIEROS\EXCEL\IV. Adicional\CONCILIACIONES BANCARIAS\"/>
    </mc:Choice>
  </mc:AlternateContent>
  <bookViews>
    <workbookView xWindow="-120" yWindow="-120" windowWidth="29040" windowHeight="15720" tabRatio="624" activeTab="2"/>
  </bookViews>
  <sheets>
    <sheet name="FISCALES 2026" sheetId="1" r:id="rId1"/>
    <sheet name="CHEQUES" sheetId="2" r:id="rId2"/>
    <sheet name="DEPOSITOS CTA FISCALES" sheetId="3" r:id="rId3"/>
  </sheets>
  <definedNames>
    <definedName name="_xlnm.Print_Area" localSheetId="1">CHEQUES!$A$1:$G$48</definedName>
    <definedName name="_xlnm.Print_Area" localSheetId="2">'DEPOSITOS CTA FISCALES'!$A$1:$F$67</definedName>
    <definedName name="_xlnm.Print_Area" localSheetId="0">'FISCALES 2026'!$A$1:$G$75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2" i="1" l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F21" i="1"/>
  <c r="D21" i="1"/>
  <c r="B21" i="1"/>
  <c r="G19" i="1" l="1"/>
  <c r="B15" i="3"/>
  <c r="G42" i="1" l="1"/>
  <c r="F18" i="2"/>
  <c r="G53" i="1" l="1"/>
  <c r="I53" i="1" s="1"/>
  <c r="E38" i="3" l="1"/>
</calcChain>
</file>

<file path=xl/sharedStrings.xml><?xml version="1.0" encoding="utf-8"?>
<sst xmlns="http://schemas.openxmlformats.org/spreadsheetml/2006/main" count="103" uniqueCount="64">
  <si>
    <t>SF/UACM/IA-02</t>
  </si>
  <si>
    <r>
      <t xml:space="preserve">CONCILIACIÓN BANCARIA   </t>
    </r>
    <r>
      <rPr>
        <b/>
        <sz val="9"/>
        <rFont val="Times New Roman"/>
        <family val="1"/>
      </rPr>
      <t xml:space="preserve"> </t>
    </r>
  </si>
  <si>
    <r>
      <rPr>
        <b/>
        <sz val="11"/>
        <rFont val="Times New Roman"/>
        <family val="1"/>
      </rPr>
      <t xml:space="preserve">MÁS </t>
    </r>
    <r>
      <rPr>
        <sz val="11"/>
        <rFont val="Times New Roman"/>
        <family val="1"/>
      </rPr>
      <t>DEPÓSITOS NO ACREDITADOS POR EL BANCO:</t>
    </r>
  </si>
  <si>
    <r>
      <rPr>
        <b/>
        <sz val="11"/>
        <rFont val="Times New Roman"/>
        <family val="1"/>
      </rPr>
      <t xml:space="preserve">MENOS </t>
    </r>
    <r>
      <rPr>
        <sz val="11"/>
        <rFont val="Times New Roman"/>
        <family val="1"/>
      </rPr>
      <t>CHEQUES NO COBRADOS:</t>
    </r>
  </si>
  <si>
    <r>
      <rPr>
        <b/>
        <sz val="11"/>
        <rFont val="Times New Roman"/>
        <family val="1"/>
      </rPr>
      <t>MÁS</t>
    </r>
    <r>
      <rPr>
        <sz val="11"/>
        <rFont val="Times New Roman"/>
        <family val="1"/>
      </rPr>
      <t xml:space="preserve"> CARGOS DEL BANCO NO CORRESPONDIDOS:</t>
    </r>
  </si>
  <si>
    <t xml:space="preserve"> -</t>
  </si>
  <si>
    <t>FECHA:</t>
  </si>
  <si>
    <t>CONCEPTO:</t>
  </si>
  <si>
    <t>IMPORTE:</t>
  </si>
  <si>
    <r>
      <rPr>
        <b/>
        <sz val="11"/>
        <rFont val="Times New Roman"/>
        <family val="1"/>
      </rPr>
      <t xml:space="preserve">MENOS </t>
    </r>
    <r>
      <rPr>
        <sz val="11"/>
        <rFont val="Times New Roman"/>
        <family val="1"/>
      </rPr>
      <t>CRÉDITOS DEL BANCO NO CORRESPONDIDOS:</t>
    </r>
  </si>
  <si>
    <t>SALDO EN LIBROS AL CIERRE DE MES:</t>
  </si>
  <si>
    <t>SF/UACM/IA-03</t>
  </si>
  <si>
    <t>RELACIÓN DE CHEQUES EN TRÁNSITO</t>
  </si>
  <si>
    <t xml:space="preserve"> </t>
  </si>
  <si>
    <t>FECHA</t>
  </si>
  <si>
    <t>N° DE CHEQUE</t>
  </si>
  <si>
    <t>BENEFICIARIO</t>
  </si>
  <si>
    <t>CONCEPTO</t>
  </si>
  <si>
    <t>IMPORTE</t>
  </si>
  <si>
    <t>TOTAL</t>
  </si>
  <si>
    <t>DEPÓSITOS PENDIENTES DE REGISTRAR POR EL BANCO</t>
  </si>
  <si>
    <t>REFERENCIA</t>
  </si>
  <si>
    <t>H. AYUNTAMIENTO CONSTITUCIONAL DE ACAJETE, VER.</t>
  </si>
  <si>
    <t>SUCURSAL: 1760 SUC. AMERICAS XALAPA</t>
  </si>
  <si>
    <t>BANCO: SANTANDER</t>
  </si>
  <si>
    <t>INSTITUCIÓN BANCARIA: SANTANDER</t>
  </si>
  <si>
    <t>MUNICIPIO 001</t>
  </si>
  <si>
    <r>
      <t xml:space="preserve">FUENTE DE FINANCIAMIENTO: </t>
    </r>
    <r>
      <rPr>
        <sz val="11"/>
        <rFont val="Times New Roman"/>
        <family val="1"/>
      </rPr>
      <t>INGRESOS FISCALES 2026</t>
    </r>
  </si>
  <si>
    <t>FISCALES 2026</t>
  </si>
  <si>
    <t>N° DE CUENTA:  18-00034992-9</t>
  </si>
  <si>
    <r>
      <rPr>
        <b/>
        <sz val="10"/>
        <rFont val="Arial"/>
        <family val="2"/>
      </rPr>
      <t>FUENTE DE FINANCIAMIENTO:</t>
    </r>
    <r>
      <rPr>
        <sz val="10"/>
        <rFont val="Arial"/>
        <family val="2"/>
      </rPr>
      <t xml:space="preserve">  INGRESOS FISCALES 2026</t>
    </r>
  </si>
  <si>
    <t>N° DE CUENTA: 18-00034992-9</t>
  </si>
  <si>
    <t xml:space="preserve"> SUCURSAL: 1760 SUC. AMERICAS XALAPA</t>
  </si>
  <si>
    <t xml:space="preserve">                        SUCURSAL: 1760 SUC. AMERICAS XALAPA</t>
  </si>
  <si>
    <r>
      <rPr>
        <b/>
        <sz val="10"/>
        <rFont val="Arial"/>
        <family val="2"/>
      </rPr>
      <t>FUENTE DE FINANCIAMIENTO:</t>
    </r>
    <r>
      <rPr>
        <sz val="10"/>
        <rFont val="Arial"/>
        <family val="2"/>
      </rPr>
      <t xml:space="preserve"> INGRESOS FISCALES 2026</t>
    </r>
  </si>
  <si>
    <t>CTA CONTABLE:   1.1.1.2.05.06</t>
  </si>
  <si>
    <t>CTA CONTABLE: 1.1.1.2.05.06</t>
  </si>
  <si>
    <t xml:space="preserve">                           CTA CONTABLE: 1.1.1.2.05.06</t>
  </si>
  <si>
    <t>No. DE CHEQUE</t>
  </si>
  <si>
    <t>CONCILIACIÓN BANCARIA AL 31 DE MARZO DE 2026</t>
  </si>
  <si>
    <t>SALDO DEL ESTADO DE CUENTA BANCARIO AL 31 DE MARZO DE 2026</t>
  </si>
  <si>
    <t>AL MES DE : MARZO DE 2026</t>
  </si>
  <si>
    <t>31/03/2026</t>
  </si>
  <si>
    <t>REGISTRO DEL DEPOSITO DE LA RECAUDACION DEL DIA 02 DE MARZO DE 2026</t>
  </si>
  <si>
    <t>REGISTRO DEL DEPOSITO DE LA RECAUDACION DEL DIA 03 DE MARZO DE 2026</t>
  </si>
  <si>
    <t>REGISTRO DEL DEPOSITO DE LA RECAUDACION DEL DIA 04 DE MARZO DE 2026</t>
  </si>
  <si>
    <t>REGISTRO DEL DEPOSITO DE LA RECAUDACION DEL DIA 05 DE MARZO DE 2026</t>
  </si>
  <si>
    <t>REGISTRO DEL DEPOSITO DE LA RECAUDACION DEL DIA 06 DE MARZO DE 2026</t>
  </si>
  <si>
    <t>REGISTRO DEL DEPOSITO DE LA RECAUDACION DEL DIA 09 DE MARZO DE 2026</t>
  </si>
  <si>
    <t>REGISTRO DEL DEPOSITO DE LA RECAUDACION DEL DIA 10 DE MARZO DE 2026</t>
  </si>
  <si>
    <t>REGISTRO DEL DEPOSITO DE LA RECAUDACION DEL DIA 11 DE MARZO DE 2026</t>
  </si>
  <si>
    <t>REGISTRO DEL DEPOSITO DE LA RECAUDACION DEL DIA 12 DE MARZO DE 2026</t>
  </si>
  <si>
    <t>REGISTRO DEL DEPOSITO DE LA RECAUDACION DEL DIA 13 DE MARZO DE 2026</t>
  </si>
  <si>
    <t>REGISTRO DEL DEPOSITO DE LA RECAUDACION DEL DIA 17 DE MARZO DE 2026</t>
  </si>
  <si>
    <t>REGISTRO DEL DEPOSITO DE LA RECAUDACION DEL DIA 18 DE MARZO DE 2026</t>
  </si>
  <si>
    <t>REGISTRO DEL DEPOSITO DE LA RECAUDACION DEL DIA 20 DE MARZO DE 2026</t>
  </si>
  <si>
    <t>REGISTRO DEL DEPOSITO DE LA RECAUDACION DEL DIA 23 DE MARZO DE 2026</t>
  </si>
  <si>
    <t>REGISTRO DEL DEPOSITO DE LA RECAUDACION DEL DIA 24 DE MARZO DE 2026</t>
  </si>
  <si>
    <t>REGISTRO DEL DEPOSITO DE LA RECAUDACION DEL DIA 25 DE MARZO DE 2026</t>
  </si>
  <si>
    <t>REGISTRO DEL DEPOSITO DE LA RECAUDACION DEL DIA 26 DE MARZO DE 2026</t>
  </si>
  <si>
    <t>REGISTRO DEL DEPOSITO DE LA RECAUDACION DEL DIA 27 DE MARZO DE 2026</t>
  </si>
  <si>
    <t>REGISTRO DEL DEPOSITO DE LA RECAUDACION DEL DIA 31 DE MARZO DE 2026</t>
  </si>
  <si>
    <t>$191,767.38</t>
  </si>
  <si>
    <t>REGISTRO DEL DEPOSITO DE LA RECAUDACION DEL DIA 30 DE MARZO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</si>
</sst>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&quot;$&quot;* #,##0.00_-;\-&quot;$&quot;* #,##0.00_-;_-&quot;$&quot;* &quot;-&quot;??_-;_-@_-"/>
    <numFmt numFmtId="43" formatCode="_-* #,##0.00_-;\-* #,##0.00_-;_-* &quot;-&quot;??_-;_-@_-"/>
  </numFmts>
  <fonts count="20" x14ac:knownFonts="1">
    <font>
      <sz val="10"/>
      <name val="Arial"/>
    </font>
    <font>
      <b/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sz val="10"/>
      <name val="Arial"/>
      <family val="2"/>
    </font>
    <font>
      <b/>
      <sz val="11"/>
      <name val="Times New Roman"/>
      <family val="1"/>
    </font>
    <font>
      <b/>
      <sz val="9"/>
      <name val="Times New Roman"/>
      <family val="1"/>
    </font>
    <font>
      <sz val="11"/>
      <name val="Times New Roman"/>
      <family val="1"/>
    </font>
    <font>
      <i/>
      <sz val="11"/>
      <name val="Times New Roman"/>
      <family val="1"/>
    </font>
    <font>
      <sz val="8"/>
      <name val="Times New Roman"/>
      <family val="1"/>
    </font>
    <font>
      <b/>
      <u val="doubleAccounting"/>
      <sz val="11"/>
      <name val="Times New Roman"/>
      <family val="1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8"/>
      <name val="Times New Roman"/>
      <family val="1"/>
    </font>
    <font>
      <i/>
      <sz val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</cellStyleXfs>
  <cellXfs count="182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2" xfId="0" applyBorder="1"/>
    <xf numFmtId="0" fontId="13" fillId="0" borderId="2" xfId="0" applyFont="1" applyBorder="1" applyAlignment="1">
      <alignment horizontal="left" indent="2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17" fillId="0" borderId="5" xfId="3" applyFont="1" applyBorder="1"/>
    <xf numFmtId="0" fontId="12" fillId="0" borderId="5" xfId="0" applyFont="1" applyBorder="1"/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 applyAlignment="1">
      <alignment horizontal="center"/>
    </xf>
    <xf numFmtId="14" fontId="11" fillId="0" borderId="10" xfId="0" quotePrefix="1" applyNumberFormat="1" applyFont="1" applyBorder="1" applyAlignment="1">
      <alignment horizontal="center" vertical="center" wrapText="1"/>
    </xf>
    <xf numFmtId="0" fontId="11" fillId="0" borderId="10" xfId="0" quotePrefix="1" applyFont="1" applyBorder="1" applyAlignment="1">
      <alignment horizontal="center" vertical="center" wrapText="1"/>
    </xf>
    <xf numFmtId="0" fontId="11" fillId="0" borderId="10" xfId="0" applyFont="1" applyBorder="1" applyAlignment="1">
      <alignment horizontal="left" vertical="center" wrapText="1"/>
    </xf>
    <xf numFmtId="0" fontId="2" fillId="0" borderId="4" xfId="0" applyFont="1" applyBorder="1"/>
    <xf numFmtId="14" fontId="11" fillId="0" borderId="10" xfId="0" quotePrefix="1" applyNumberFormat="1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43" fontId="11" fillId="0" borderId="10" xfId="4" quotePrefix="1" applyFont="1" applyBorder="1" applyAlignment="1">
      <alignment horizontal="left" vertical="center"/>
    </xf>
    <xf numFmtId="44" fontId="2" fillId="0" borderId="0" xfId="5" applyFont="1"/>
    <xf numFmtId="44" fontId="2" fillId="0" borderId="4" xfId="5" applyFont="1" applyBorder="1"/>
    <xf numFmtId="0" fontId="0" fillId="0" borderId="6" xfId="0" applyBorder="1"/>
    <xf numFmtId="0" fontId="0" fillId="0" borderId="7" xfId="0" applyBorder="1"/>
    <xf numFmtId="0" fontId="1" fillId="0" borderId="7" xfId="0" applyFont="1" applyBorder="1" applyAlignment="1">
      <alignment horizontal="right"/>
    </xf>
    <xf numFmtId="0" fontId="0" fillId="0" borderId="8" xfId="0" applyBorder="1"/>
    <xf numFmtId="0" fontId="2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5" fillId="0" borderId="0" xfId="0" applyFont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44" fontId="7" fillId="0" borderId="5" xfId="2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0" xfId="0" applyFont="1" applyAlignment="1">
      <alignment vertical="center"/>
    </xf>
    <xf numFmtId="43" fontId="5" fillId="0" borderId="5" xfId="1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43" fontId="5" fillId="0" borderId="9" xfId="1" applyFont="1" applyBorder="1" applyAlignment="1">
      <alignment vertical="center"/>
    </xf>
    <xf numFmtId="14" fontId="3" fillId="0" borderId="4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44" fontId="9" fillId="0" borderId="0" xfId="2" applyFont="1" applyAlignment="1">
      <alignment horizontal="right" vertical="center"/>
    </xf>
    <xf numFmtId="14" fontId="2" fillId="0" borderId="4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4" fontId="9" fillId="0" borderId="0" xfId="2" applyFont="1" applyAlignment="1">
      <alignment horizontal="center" vertical="center"/>
    </xf>
    <xf numFmtId="43" fontId="5" fillId="0" borderId="5" xfId="1" applyFont="1" applyBorder="1" applyAlignment="1">
      <alignment horizontal="center" vertical="center"/>
    </xf>
    <xf numFmtId="44" fontId="7" fillId="0" borderId="9" xfId="2" applyFont="1" applyBorder="1" applyAlignment="1">
      <alignment horizontal="right" vertical="center"/>
    </xf>
    <xf numFmtId="44" fontId="7" fillId="0" borderId="9" xfId="2" applyFont="1" applyBorder="1" applyAlignment="1">
      <alignment vertical="center"/>
    </xf>
    <xf numFmtId="44" fontId="10" fillId="0" borderId="5" xfId="2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0" fillId="0" borderId="0" xfId="0" applyAlignment="1">
      <alignment vertical="center"/>
    </xf>
    <xf numFmtId="44" fontId="2" fillId="0" borderId="0" xfId="2" applyFont="1" applyAlignment="1">
      <alignment vertical="center"/>
    </xf>
    <xf numFmtId="44" fontId="18" fillId="0" borderId="0" xfId="2" applyFont="1" applyAlignment="1">
      <alignment horizontal="center" vertical="center"/>
    </xf>
    <xf numFmtId="14" fontId="19" fillId="0" borderId="4" xfId="0" applyNumberFormat="1" applyFont="1" applyBorder="1" applyAlignment="1">
      <alignment horizontal="center" vertical="center"/>
    </xf>
    <xf numFmtId="0" fontId="11" fillId="0" borderId="10" xfId="0" applyFont="1" applyBorder="1" applyAlignment="1">
      <alignment horizontal="justify" vertical="center" wrapText="1"/>
    </xf>
    <xf numFmtId="43" fontId="11" fillId="0" borderId="10" xfId="1" quotePrefix="1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4" fontId="2" fillId="0" borderId="0" xfId="0" applyNumberFormat="1" applyFont="1" applyAlignment="1">
      <alignment vertical="center"/>
    </xf>
    <xf numFmtId="44" fontId="5" fillId="0" borderId="9" xfId="2" applyFont="1" applyBorder="1" applyAlignment="1">
      <alignment horizontal="right" vertical="top" wrapText="1"/>
    </xf>
    <xf numFmtId="0" fontId="9" fillId="0" borderId="0" xfId="0" applyFont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13" fillId="0" borderId="2" xfId="0" applyFont="1" applyBorder="1" applyAlignment="1">
      <alignment horizontal="left"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12" fillId="0" borderId="0" xfId="0" quotePrefix="1" applyFont="1" applyAlignment="1">
      <alignment vertical="center"/>
    </xf>
    <xf numFmtId="0" fontId="0" fillId="0" borderId="5" xfId="0" applyBorder="1" applyAlignment="1">
      <alignment vertical="center"/>
    </xf>
    <xf numFmtId="0" fontId="15" fillId="0" borderId="0" xfId="0" applyFont="1" applyAlignment="1">
      <alignment horizontal="center" vertical="center"/>
    </xf>
    <xf numFmtId="0" fontId="17" fillId="0" borderId="5" xfId="3" applyFont="1" applyBorder="1" applyAlignment="1">
      <alignment vertical="center"/>
    </xf>
    <xf numFmtId="0" fontId="12" fillId="0" borderId="0" xfId="0" applyFont="1" applyAlignment="1">
      <alignment vertical="center"/>
    </xf>
    <xf numFmtId="0" fontId="12" fillId="0" borderId="5" xfId="0" applyFont="1" applyBorder="1" applyAlignment="1">
      <alignment vertical="center"/>
    </xf>
    <xf numFmtId="0" fontId="15" fillId="0" borderId="1" xfId="0" applyFont="1" applyBorder="1" applyAlignment="1">
      <alignment vertical="center"/>
    </xf>
    <xf numFmtId="0" fontId="15" fillId="0" borderId="3" xfId="0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4" xfId="0" applyFont="1" applyBorder="1" applyAlignment="1">
      <alignment vertical="center"/>
    </xf>
    <xf numFmtId="44" fontId="2" fillId="0" borderId="4" xfId="2" applyFont="1" applyBorder="1" applyAlignment="1">
      <alignment vertical="center"/>
    </xf>
    <xf numFmtId="0" fontId="7" fillId="0" borderId="5" xfId="0" applyFont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44" fontId="2" fillId="0" borderId="0" xfId="0" applyNumberFormat="1" applyFont="1" applyAlignment="1">
      <alignment vertical="center"/>
    </xf>
    <xf numFmtId="0" fontId="12" fillId="2" borderId="10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 wrapText="1"/>
    </xf>
    <xf numFmtId="44" fontId="12" fillId="2" borderId="10" xfId="0" quotePrefix="1" applyNumberFormat="1" applyFont="1" applyFill="1" applyBorder="1" applyAlignment="1">
      <alignment horizontal="center" vertical="center"/>
    </xf>
    <xf numFmtId="0" fontId="5" fillId="2" borderId="4" xfId="0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0" fontId="5" fillId="2" borderId="5" xfId="0" applyFont="1" applyFill="1" applyBorder="1" applyAlignment="1">
      <alignment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5" fillId="2" borderId="0" xfId="0" applyFont="1" applyFill="1" applyAlignment="1">
      <alignment horizontal="left" vertical="center"/>
    </xf>
    <xf numFmtId="0" fontId="2" fillId="2" borderId="5" xfId="0" applyFont="1" applyFill="1" applyBorder="1" applyAlignment="1">
      <alignment vertical="center"/>
    </xf>
    <xf numFmtId="0" fontId="5" fillId="2" borderId="6" xfId="0" applyFont="1" applyFill="1" applyBorder="1" applyAlignment="1">
      <alignment vertical="center"/>
    </xf>
    <xf numFmtId="0" fontId="2" fillId="2" borderId="7" xfId="0" applyFont="1" applyFill="1" applyBorder="1" applyAlignment="1">
      <alignment vertical="center"/>
    </xf>
    <xf numFmtId="0" fontId="5" fillId="2" borderId="7" xfId="0" applyFont="1" applyFill="1" applyBorder="1" applyAlignment="1">
      <alignment vertical="center"/>
    </xf>
    <xf numFmtId="0" fontId="5" fillId="2" borderId="7" xfId="0" applyFont="1" applyFill="1" applyBorder="1" applyAlignment="1">
      <alignment horizontal="left" vertical="center"/>
    </xf>
    <xf numFmtId="0" fontId="5" fillId="2" borderId="8" xfId="0" applyFont="1" applyFill="1" applyBorder="1" applyAlignment="1">
      <alignment vertical="center"/>
    </xf>
    <xf numFmtId="0" fontId="7" fillId="0" borderId="5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0" borderId="0" xfId="0" applyBorder="1"/>
    <xf numFmtId="0" fontId="12" fillId="0" borderId="0" xfId="0" quotePrefix="1" applyFont="1" applyBorder="1"/>
    <xf numFmtId="0" fontId="15" fillId="0" borderId="0" xfId="0" applyFont="1" applyBorder="1" applyAlignment="1">
      <alignment horizontal="center"/>
    </xf>
    <xf numFmtId="0" fontId="12" fillId="0" borderId="0" xfId="0" applyFont="1" applyBorder="1"/>
    <xf numFmtId="0" fontId="12" fillId="0" borderId="0" xfId="0" applyFont="1" applyBorder="1" applyAlignment="1">
      <alignment horizontal="left"/>
    </xf>
    <xf numFmtId="0" fontId="12" fillId="0" borderId="0" xfId="0" applyFont="1" applyBorder="1" applyAlignment="1">
      <alignment horizontal="left" indent="5"/>
    </xf>
    <xf numFmtId="0" fontId="12" fillId="0" borderId="0" xfId="0" applyFont="1" applyBorder="1" applyAlignment="1">
      <alignment horizontal="center"/>
    </xf>
    <xf numFmtId="0" fontId="7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11" fillId="0" borderId="0" xfId="0" applyFont="1" applyBorder="1" applyAlignment="1">
      <alignment vertical="center"/>
    </xf>
    <xf numFmtId="0" fontId="12" fillId="0" borderId="0" xfId="0" applyFont="1" applyBorder="1" applyAlignment="1">
      <alignment horizontal="right" vertical="center"/>
    </xf>
    <xf numFmtId="0" fontId="11" fillId="0" borderId="0" xfId="0" applyFont="1" applyBorder="1"/>
    <xf numFmtId="0" fontId="12" fillId="0" borderId="0" xfId="0" applyFont="1" applyBorder="1" applyAlignment="1">
      <alignment horizontal="right"/>
    </xf>
    <xf numFmtId="0" fontId="1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justify" vertical="center"/>
    </xf>
    <xf numFmtId="0" fontId="0" fillId="2" borderId="11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4" fontId="11" fillId="0" borderId="11" xfId="0" quotePrefix="1" applyNumberFormat="1" applyFont="1" applyBorder="1" applyAlignment="1">
      <alignment horizontal="center" vertical="center" wrapText="1"/>
    </xf>
    <xf numFmtId="14" fontId="11" fillId="0" borderId="13" xfId="0" quotePrefix="1" applyNumberFormat="1" applyFont="1" applyBorder="1" applyAlignment="1">
      <alignment horizontal="center" vertical="center" wrapText="1"/>
    </xf>
    <xf numFmtId="14" fontId="11" fillId="0" borderId="12" xfId="0" quotePrefix="1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right" vertical="center"/>
    </xf>
    <xf numFmtId="0" fontId="0" fillId="2" borderId="10" xfId="0" applyFill="1" applyBorder="1" applyAlignment="1">
      <alignment horizontal="center" vertical="center"/>
    </xf>
    <xf numFmtId="0" fontId="12" fillId="0" borderId="0" xfId="0" applyFont="1" applyBorder="1" applyAlignment="1">
      <alignment horizontal="right"/>
    </xf>
    <xf numFmtId="0" fontId="14" fillId="0" borderId="0" xfId="0" applyFont="1" applyBorder="1" applyAlignment="1">
      <alignment horizontal="center"/>
    </xf>
    <xf numFmtId="0" fontId="16" fillId="0" borderId="0" xfId="3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15" fillId="0" borderId="0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2" fillId="0" borderId="0" xfId="0" applyFont="1" applyBorder="1" applyAlignment="1">
      <alignment horizontal="center"/>
    </xf>
  </cellXfs>
  <cellStyles count="6">
    <cellStyle name="Millares" xfId="1" builtinId="3"/>
    <cellStyle name="Millares 3 2" xfId="4"/>
    <cellStyle name="Moneda" xfId="2" builtinId="4"/>
    <cellStyle name="Moneda 4 2" xfId="5"/>
    <cellStyle name="Normal" xfId="0" builtinId="0"/>
    <cellStyle name="Normal 2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56</xdr:row>
      <xdr:rowOff>144780</xdr:rowOff>
    </xdr:from>
    <xdr:to>
      <xdr:col>6</xdr:col>
      <xdr:colOff>1529717</xdr:colOff>
      <xdr:row>71</xdr:row>
      <xdr:rowOff>58330</xdr:rowOff>
    </xdr:to>
    <xdr:grpSp>
      <xdr:nvGrpSpPr>
        <xdr:cNvPr id="14" name="9 Grupo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pSpPr/>
      </xdr:nvGrpSpPr>
      <xdr:grpSpPr>
        <a:xfrm>
          <a:off x="114300" y="10746105"/>
          <a:ext cx="8597267" cy="2913925"/>
          <a:chOff x="339769" y="8181396"/>
          <a:chExt cx="5996201" cy="1915443"/>
        </a:xfrm>
      </xdr:grpSpPr>
      <xdr:grpSp>
        <xdr:nvGrpSpPr>
          <xdr:cNvPr id="15" name="10 Grupo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GrpSpPr/>
        </xdr:nvGrpSpPr>
        <xdr:grpSpPr>
          <a:xfrm>
            <a:off x="339769" y="8181396"/>
            <a:ext cx="5996201" cy="1915443"/>
            <a:chOff x="177844" y="8200446"/>
            <a:chExt cx="5996201" cy="1915443"/>
          </a:xfrm>
        </xdr:grpSpPr>
        <xdr:sp macro="" textlink="">
          <xdr:nvSpPr>
            <xdr:cNvPr id="17" name="12 CuadroTexto">
              <a:extLst>
                <a:ext uri="{FF2B5EF4-FFF2-40B4-BE49-F238E27FC236}">
                  <a16:creationId xmlns:a16="http://schemas.microsoft.com/office/drawing/2014/main" id="{00000000-0008-0000-0000-000011000000}"/>
                </a:ext>
              </a:extLst>
            </xdr:cNvPr>
            <xdr:cNvSpPr txBox="1"/>
          </xdr:nvSpPr>
          <xdr:spPr>
            <a:xfrm>
              <a:off x="3700788" y="8200446"/>
              <a:ext cx="2464774" cy="638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/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L.C. MARIELA CORTÉS HERNÁNDEZ</a:t>
              </a:r>
            </a:p>
            <a:p>
              <a:pPr algn="ctr"/>
              <a:r>
                <a:rPr lang="es-MX" sz="1050" b="1"/>
                <a:t>TESORERA MUNICIPAL</a:t>
              </a:r>
            </a:p>
          </xdr:txBody>
        </xdr:sp>
        <xdr:sp macro="" textlink="">
          <xdr:nvSpPr>
            <xdr:cNvPr id="18" name="13 CuadroTexto">
              <a:extLst>
                <a:ext uri="{FF2B5EF4-FFF2-40B4-BE49-F238E27FC236}">
                  <a16:creationId xmlns:a16="http://schemas.microsoft.com/office/drawing/2014/main" id="{00000000-0008-0000-0000-000012000000}"/>
                </a:ext>
              </a:extLst>
            </xdr:cNvPr>
            <xdr:cNvSpPr txBox="1"/>
          </xdr:nvSpPr>
          <xdr:spPr>
            <a:xfrm>
              <a:off x="195850" y="8209873"/>
              <a:ext cx="2407614" cy="638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marL="0" indent="0" algn="ctr" rtl="1"/>
              <a:r>
                <a:rPr lang="es-MX" sz="1050" b="1"/>
                <a:t> </a:t>
              </a:r>
              <a:r>
                <a:rPr lang="es-MX" sz="1050" b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C. MARÍA CLAUDIA NAVA SANTOS</a:t>
              </a:r>
            </a:p>
            <a:p>
              <a:pPr algn="ctr"/>
              <a:r>
                <a:rPr lang="es-MX" sz="1050" b="1"/>
                <a:t>PRESIDENTA MUNICIPAL</a:t>
              </a:r>
            </a:p>
          </xdr:txBody>
        </xdr:sp>
        <xdr:sp macro="" textlink="">
          <xdr:nvSpPr>
            <xdr:cNvPr id="26" name="14 CuadroTexto">
              <a:extLst>
                <a:ext uri="{FF2B5EF4-FFF2-40B4-BE49-F238E27FC236}">
                  <a16:creationId xmlns:a16="http://schemas.microsoft.com/office/drawing/2014/main" id="{00000000-0008-0000-0000-00001A000000}"/>
                </a:ext>
              </a:extLst>
            </xdr:cNvPr>
            <xdr:cNvSpPr txBox="1"/>
          </xdr:nvSpPr>
          <xdr:spPr>
            <a:xfrm>
              <a:off x="177844" y="9525387"/>
              <a:ext cx="2468026" cy="55245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C. JOSÉ LUIS MARTÍNEZ RIVERA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SÍNDIC</a:t>
              </a:r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 ÚNICO</a:t>
              </a:r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DE LA COMISIÓN DE HACIENDA</a:t>
              </a:r>
              <a:endParaRPr lang="es-MX" sz="1050" b="1">
                <a:effectLst/>
              </a:endParaRP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Y PATRIMONIO MUNICIPAL</a:t>
              </a:r>
              <a:endParaRPr lang="es-MX" sz="1050" b="1">
                <a:effectLst/>
              </a:endParaRPr>
            </a:p>
          </xdr:txBody>
        </xdr:sp>
        <xdr:sp macro="" textlink="">
          <xdr:nvSpPr>
            <xdr:cNvPr id="27" name="15 CuadroTexto">
              <a:extLst>
                <a:ext uri="{FF2B5EF4-FFF2-40B4-BE49-F238E27FC236}">
                  <a16:creationId xmlns:a16="http://schemas.microsoft.com/office/drawing/2014/main" id="{00000000-0008-0000-0000-00001B000000}"/>
                </a:ext>
              </a:extLst>
            </xdr:cNvPr>
            <xdr:cNvSpPr txBox="1"/>
          </xdr:nvSpPr>
          <xdr:spPr>
            <a:xfrm>
              <a:off x="3679334" y="9544389"/>
              <a:ext cx="2494711" cy="5715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LIC. ROSA ISELA HERNÁNDEZ SOTO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REGIDORA DE LA COMISIÓN DE HACIENDA Y PATRIMONIO</a:t>
              </a:r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MUNICIPAL</a:t>
              </a:r>
              <a:endParaRPr lang="es-MX" sz="1050" b="1">
                <a:effectLst/>
              </a:endParaRPr>
            </a:p>
          </xdr:txBody>
        </xdr:sp>
      </xdr:grpSp>
      <xdr:sp macro="" textlink="">
        <xdr:nvSpPr>
          <xdr:cNvPr id="16" name="11 CuadroTexto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SpPr txBox="1"/>
        </xdr:nvSpPr>
        <xdr:spPr>
          <a:xfrm>
            <a:off x="1979633" y="8972598"/>
            <a:ext cx="2838450" cy="2762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r>
              <a:rPr lang="es-MX" sz="1050" b="1"/>
              <a:t>COMISIÓN</a:t>
            </a:r>
            <a:r>
              <a:rPr lang="es-MX" sz="1050" b="1" baseline="0"/>
              <a:t> DE HACIENDA MUNICIPAL</a:t>
            </a:r>
            <a:endParaRPr lang="es-MX" sz="1050" b="1"/>
          </a:p>
        </xdr:txBody>
      </xdr:sp>
    </xdr:grpSp>
    <xdr:clientData/>
  </xdr:twoCellAnchor>
  <xdr:twoCellAnchor editAs="oneCell">
    <xdr:from>
      <xdr:col>6</xdr:col>
      <xdr:colOff>240322</xdr:colOff>
      <xdr:row>1</xdr:row>
      <xdr:rowOff>99645</xdr:rowOff>
    </xdr:from>
    <xdr:to>
      <xdr:col>6</xdr:col>
      <xdr:colOff>1471821</xdr:colOff>
      <xdr:row>7</xdr:row>
      <xdr:rowOff>28003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B1A9EE8-1079-28C0-CD17-5738139C13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67953" y="269630"/>
          <a:ext cx="1231499" cy="1182727"/>
        </a:xfrm>
        <a:prstGeom prst="rect">
          <a:avLst/>
        </a:prstGeom>
      </xdr:spPr>
    </xdr:pic>
    <xdr:clientData/>
  </xdr:twoCellAnchor>
  <xdr:twoCellAnchor editAs="oneCell">
    <xdr:from>
      <xdr:col>1</xdr:col>
      <xdr:colOff>679939</xdr:colOff>
      <xdr:row>2</xdr:row>
      <xdr:rowOff>93785</xdr:rowOff>
    </xdr:from>
    <xdr:to>
      <xdr:col>2</xdr:col>
      <xdr:colOff>735122</xdr:colOff>
      <xdr:row>6</xdr:row>
      <xdr:rowOff>365375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5F3CF16-3A22-3ABA-4D4D-F2D31D4D10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6139" y="439616"/>
          <a:ext cx="975445" cy="9632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167640</xdr:colOff>
      <xdr:row>15</xdr:row>
      <xdr:rowOff>0</xdr:rowOff>
    </xdr:from>
    <xdr:ext cx="5699254" cy="937629"/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/>
      </xdr:nvSpPr>
      <xdr:spPr>
        <a:xfrm rot="21333714">
          <a:off x="1737360" y="2804160"/>
          <a:ext cx="5699254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4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SIN MOVIMIENTOS</a:t>
          </a:r>
        </a:p>
      </xdr:txBody>
    </xdr:sp>
    <xdr:clientData/>
  </xdr:oneCellAnchor>
  <xdr:twoCellAnchor>
    <xdr:from>
      <xdr:col>1</xdr:col>
      <xdr:colOff>60960</xdr:colOff>
      <xdr:row>24</xdr:row>
      <xdr:rowOff>129540</xdr:rowOff>
    </xdr:from>
    <xdr:to>
      <xdr:col>5</xdr:col>
      <xdr:colOff>1118237</xdr:colOff>
      <xdr:row>43</xdr:row>
      <xdr:rowOff>4990</xdr:rowOff>
    </xdr:to>
    <xdr:grpSp>
      <xdr:nvGrpSpPr>
        <xdr:cNvPr id="20" name="9 Grupo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GrpSpPr/>
      </xdr:nvGrpSpPr>
      <xdr:grpSpPr>
        <a:xfrm>
          <a:off x="232410" y="5330190"/>
          <a:ext cx="8305802" cy="3599725"/>
          <a:chOff x="339769" y="8181396"/>
          <a:chExt cx="5996201" cy="1915443"/>
        </a:xfrm>
      </xdr:grpSpPr>
      <xdr:grpSp>
        <xdr:nvGrpSpPr>
          <xdr:cNvPr id="21" name="10 Grupo">
            <a:extLst>
              <a:ext uri="{FF2B5EF4-FFF2-40B4-BE49-F238E27FC236}">
                <a16:creationId xmlns:a16="http://schemas.microsoft.com/office/drawing/2014/main" id="{00000000-0008-0000-0100-000015000000}"/>
              </a:ext>
            </a:extLst>
          </xdr:cNvPr>
          <xdr:cNvGrpSpPr/>
        </xdr:nvGrpSpPr>
        <xdr:grpSpPr>
          <a:xfrm>
            <a:off x="339769" y="8181396"/>
            <a:ext cx="5996201" cy="1915443"/>
            <a:chOff x="177844" y="8200446"/>
            <a:chExt cx="5996201" cy="1915443"/>
          </a:xfrm>
        </xdr:grpSpPr>
        <xdr:sp macro="" textlink="">
          <xdr:nvSpPr>
            <xdr:cNvPr id="23" name="12 CuadroTexto">
              <a:extLst>
                <a:ext uri="{FF2B5EF4-FFF2-40B4-BE49-F238E27FC236}">
                  <a16:creationId xmlns:a16="http://schemas.microsoft.com/office/drawing/2014/main" id="{00000000-0008-0000-0100-000017000000}"/>
                </a:ext>
              </a:extLst>
            </xdr:cNvPr>
            <xdr:cNvSpPr txBox="1"/>
          </xdr:nvSpPr>
          <xdr:spPr>
            <a:xfrm>
              <a:off x="3700788" y="8200446"/>
              <a:ext cx="2464774" cy="638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s-MX" sz="1100" b="1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+mn-lt"/>
                  <a:ea typeface="+mn-ea"/>
                  <a:cs typeface="+mn-cs"/>
                </a:rPr>
                <a:t>L.C. MARIELA CORTÉS HERNÁNDEZ</a:t>
              </a:r>
            </a:p>
            <a:p>
              <a:pPr algn="ctr"/>
              <a:r>
                <a:rPr lang="es-MX" sz="1050" b="1"/>
                <a:t>TESORERA MUNICIPAL</a:t>
              </a:r>
            </a:p>
          </xdr:txBody>
        </xdr:sp>
        <xdr:sp macro="" textlink="">
          <xdr:nvSpPr>
            <xdr:cNvPr id="24" name="13 CuadroTexto">
              <a:extLst>
                <a:ext uri="{FF2B5EF4-FFF2-40B4-BE49-F238E27FC236}">
                  <a16:creationId xmlns:a16="http://schemas.microsoft.com/office/drawing/2014/main" id="{00000000-0008-0000-0100-000018000000}"/>
                </a:ext>
              </a:extLst>
            </xdr:cNvPr>
            <xdr:cNvSpPr txBox="1"/>
          </xdr:nvSpPr>
          <xdr:spPr>
            <a:xfrm>
              <a:off x="195850" y="8209873"/>
              <a:ext cx="2407614" cy="638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marL="0" indent="0" algn="ctr" rtl="1"/>
              <a:r>
                <a:rPr lang="es-MX" sz="1050" b="1"/>
                <a:t> </a:t>
              </a:r>
              <a:r>
                <a:rPr lang="es-MX" sz="1050" b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C. MARÍA CLAUDIA NAVA SANTOS</a:t>
              </a:r>
            </a:p>
            <a:p>
              <a:pPr algn="ctr"/>
              <a:r>
                <a:rPr lang="es-MX" sz="1050" b="1"/>
                <a:t>PRESIDENTA MUNICIPAL</a:t>
              </a:r>
            </a:p>
          </xdr:txBody>
        </xdr:sp>
        <xdr:sp macro="" textlink="">
          <xdr:nvSpPr>
            <xdr:cNvPr id="25" name="14 CuadroTexto">
              <a:extLst>
                <a:ext uri="{FF2B5EF4-FFF2-40B4-BE49-F238E27FC236}">
                  <a16:creationId xmlns:a16="http://schemas.microsoft.com/office/drawing/2014/main" id="{00000000-0008-0000-0100-000019000000}"/>
                </a:ext>
              </a:extLst>
            </xdr:cNvPr>
            <xdr:cNvSpPr txBox="1"/>
          </xdr:nvSpPr>
          <xdr:spPr>
            <a:xfrm>
              <a:off x="177844" y="9525387"/>
              <a:ext cx="2468026" cy="55245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C. JOSÉ LUIS MARTÍNEZ RIVERA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SÍNDIC</a:t>
              </a:r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 ÚNICO</a:t>
              </a:r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DE LA COMISIÓN DE HACIENDA</a:t>
              </a:r>
              <a:endParaRPr lang="es-MX" sz="1050" b="1">
                <a:effectLst/>
              </a:endParaRP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Y PATRIMONIO MUNICIPAL</a:t>
              </a:r>
              <a:endParaRPr lang="es-MX" sz="1050" b="1">
                <a:effectLst/>
              </a:endParaRPr>
            </a:p>
          </xdr:txBody>
        </xdr:sp>
        <xdr:sp macro="" textlink="">
          <xdr:nvSpPr>
            <xdr:cNvPr id="26" name="15 CuadroTexto">
              <a:extLst>
                <a:ext uri="{FF2B5EF4-FFF2-40B4-BE49-F238E27FC236}">
                  <a16:creationId xmlns:a16="http://schemas.microsoft.com/office/drawing/2014/main" id="{00000000-0008-0000-0100-00001A000000}"/>
                </a:ext>
              </a:extLst>
            </xdr:cNvPr>
            <xdr:cNvSpPr txBox="1"/>
          </xdr:nvSpPr>
          <xdr:spPr>
            <a:xfrm>
              <a:off x="3679334" y="9544389"/>
              <a:ext cx="2494711" cy="5715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LIC. ROSA ISELA HERNÁNDEZ SOTO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REGIDORA DE LA COMISIÓN DE HACIENDA Y PATRIMONIO</a:t>
              </a:r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MUNICIPAL</a:t>
              </a:r>
              <a:endParaRPr lang="es-MX" sz="1050" b="1">
                <a:effectLst/>
              </a:endParaRPr>
            </a:p>
          </xdr:txBody>
        </xdr:sp>
      </xdr:grpSp>
      <xdr:sp macro="" textlink="">
        <xdr:nvSpPr>
          <xdr:cNvPr id="22" name="11 CuadroTexto">
            <a:extLst>
              <a:ext uri="{FF2B5EF4-FFF2-40B4-BE49-F238E27FC236}">
                <a16:creationId xmlns:a16="http://schemas.microsoft.com/office/drawing/2014/main" id="{00000000-0008-0000-0100-000016000000}"/>
              </a:ext>
            </a:extLst>
          </xdr:cNvPr>
          <xdr:cNvSpPr txBox="1"/>
        </xdr:nvSpPr>
        <xdr:spPr>
          <a:xfrm>
            <a:off x="1979633" y="8972598"/>
            <a:ext cx="2838450" cy="2762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r>
              <a:rPr lang="es-MX" sz="1050" b="1"/>
              <a:t>COMISIÓN</a:t>
            </a:r>
            <a:r>
              <a:rPr lang="es-MX" sz="1050" b="1" baseline="0"/>
              <a:t> DE HACIENDA MUNICIPAL</a:t>
            </a:r>
            <a:endParaRPr lang="es-MX" sz="1050" b="1"/>
          </a:p>
        </xdr:txBody>
      </xdr:sp>
    </xdr:grpSp>
    <xdr:clientData/>
  </xdr:twoCellAnchor>
  <xdr:twoCellAnchor editAs="oneCell">
    <xdr:from>
      <xdr:col>5</xdr:col>
      <xdr:colOff>0</xdr:colOff>
      <xdr:row>1</xdr:row>
      <xdr:rowOff>99061</xdr:rowOff>
    </xdr:from>
    <xdr:to>
      <xdr:col>5</xdr:col>
      <xdr:colOff>1015581</xdr:colOff>
      <xdr:row>7</xdr:row>
      <xdr:rowOff>30481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A38B697B-552D-87E4-D78C-8415C96CA0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35240" y="274321"/>
          <a:ext cx="1015581" cy="975360"/>
        </a:xfrm>
        <a:prstGeom prst="rect">
          <a:avLst/>
        </a:prstGeom>
      </xdr:spPr>
    </xdr:pic>
    <xdr:clientData/>
  </xdr:twoCellAnchor>
  <xdr:twoCellAnchor editAs="oneCell">
    <xdr:from>
      <xdr:col>1</xdr:col>
      <xdr:colOff>335280</xdr:colOff>
      <xdr:row>1</xdr:row>
      <xdr:rowOff>22860</xdr:rowOff>
    </xdr:from>
    <xdr:to>
      <xdr:col>2</xdr:col>
      <xdr:colOff>563965</xdr:colOff>
      <xdr:row>6</xdr:row>
      <xdr:rowOff>109811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688A44C-943D-5B55-E482-3D4424AA80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0540" y="198120"/>
          <a:ext cx="975445" cy="96325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92075</xdr:colOff>
      <xdr:row>1</xdr:row>
      <xdr:rowOff>107950</xdr:rowOff>
    </xdr:from>
    <xdr:to>
      <xdr:col>4</xdr:col>
      <xdr:colOff>1104099</xdr:colOff>
      <xdr:row>7</xdr:row>
      <xdr:rowOff>35645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6FC2C8D-44DC-300D-CD40-A4A900A5FA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50025" y="269875"/>
          <a:ext cx="1012024" cy="994495"/>
        </a:xfrm>
        <a:prstGeom prst="rect">
          <a:avLst/>
        </a:prstGeom>
      </xdr:spPr>
    </xdr:pic>
    <xdr:clientData/>
  </xdr:twoCellAnchor>
  <xdr:twoCellAnchor>
    <xdr:from>
      <xdr:col>1</xdr:col>
      <xdr:colOff>60960</xdr:colOff>
      <xdr:row>44</xdr:row>
      <xdr:rowOff>129540</xdr:rowOff>
    </xdr:from>
    <xdr:to>
      <xdr:col>5</xdr:col>
      <xdr:colOff>280037</xdr:colOff>
      <xdr:row>61</xdr:row>
      <xdr:rowOff>4990</xdr:rowOff>
    </xdr:to>
    <xdr:grpSp>
      <xdr:nvGrpSpPr>
        <xdr:cNvPr id="5" name="9 Grupo">
          <a:extLst>
            <a:ext uri="{FF2B5EF4-FFF2-40B4-BE49-F238E27FC236}">
              <a16:creationId xmlns:a16="http://schemas.microsoft.com/office/drawing/2014/main" id="{4E8916B1-4435-47A6-97A7-7841E51B348D}"/>
            </a:ext>
          </a:extLst>
        </xdr:cNvPr>
        <xdr:cNvGrpSpPr/>
      </xdr:nvGrpSpPr>
      <xdr:grpSpPr>
        <a:xfrm>
          <a:off x="232410" y="11388090"/>
          <a:ext cx="9420227" cy="3218725"/>
          <a:chOff x="339769" y="8181396"/>
          <a:chExt cx="5996201" cy="1915443"/>
        </a:xfrm>
      </xdr:grpSpPr>
      <xdr:grpSp>
        <xdr:nvGrpSpPr>
          <xdr:cNvPr id="6" name="10 Grupo">
            <a:extLst>
              <a:ext uri="{FF2B5EF4-FFF2-40B4-BE49-F238E27FC236}">
                <a16:creationId xmlns:a16="http://schemas.microsoft.com/office/drawing/2014/main" id="{3E0CA6CF-5C95-DD01-3617-71900494BECC}"/>
              </a:ext>
            </a:extLst>
          </xdr:cNvPr>
          <xdr:cNvGrpSpPr/>
        </xdr:nvGrpSpPr>
        <xdr:grpSpPr>
          <a:xfrm>
            <a:off x="339769" y="8181396"/>
            <a:ext cx="5996201" cy="1915443"/>
            <a:chOff x="177844" y="8200446"/>
            <a:chExt cx="5996201" cy="1915443"/>
          </a:xfrm>
        </xdr:grpSpPr>
        <xdr:sp macro="" textlink="">
          <xdr:nvSpPr>
            <xdr:cNvPr id="8" name="12 CuadroTexto">
              <a:extLst>
                <a:ext uri="{FF2B5EF4-FFF2-40B4-BE49-F238E27FC236}">
                  <a16:creationId xmlns:a16="http://schemas.microsoft.com/office/drawing/2014/main" id="{6D86C38D-5673-42DB-7CFC-A66032A3B456}"/>
                </a:ext>
              </a:extLst>
            </xdr:cNvPr>
            <xdr:cNvSpPr txBox="1"/>
          </xdr:nvSpPr>
          <xdr:spPr>
            <a:xfrm>
              <a:off x="3700788" y="8200446"/>
              <a:ext cx="2464774" cy="638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/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L.C. MARIELA CORTÉS HERNÁNDEZ</a:t>
              </a:r>
            </a:p>
            <a:p>
              <a:pPr algn="ctr"/>
              <a:r>
                <a:rPr lang="es-MX" sz="1050" b="1"/>
                <a:t>TESORERA MUNICIPAL</a:t>
              </a:r>
            </a:p>
          </xdr:txBody>
        </xdr:sp>
        <xdr:sp macro="" textlink="">
          <xdr:nvSpPr>
            <xdr:cNvPr id="9" name="13 CuadroTexto">
              <a:extLst>
                <a:ext uri="{FF2B5EF4-FFF2-40B4-BE49-F238E27FC236}">
                  <a16:creationId xmlns:a16="http://schemas.microsoft.com/office/drawing/2014/main" id="{D56DCDF7-2D24-D961-CF72-CFC71F6A33D5}"/>
                </a:ext>
              </a:extLst>
            </xdr:cNvPr>
            <xdr:cNvSpPr txBox="1"/>
          </xdr:nvSpPr>
          <xdr:spPr>
            <a:xfrm>
              <a:off x="195850" y="8209873"/>
              <a:ext cx="2407614" cy="638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marL="0" indent="0" algn="ctr" rtl="1"/>
              <a:r>
                <a:rPr lang="es-MX" sz="1050" b="1"/>
                <a:t> </a:t>
              </a:r>
              <a:r>
                <a:rPr lang="es-MX" sz="1050" b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C. MARÍA CLAUDIA NAVA SANTOS</a:t>
              </a:r>
            </a:p>
            <a:p>
              <a:pPr algn="ctr"/>
              <a:r>
                <a:rPr lang="es-MX" sz="1050" b="1"/>
                <a:t>PRESIDENTA MUNICIPAL</a:t>
              </a:r>
            </a:p>
          </xdr:txBody>
        </xdr:sp>
        <xdr:sp macro="" textlink="">
          <xdr:nvSpPr>
            <xdr:cNvPr id="10" name="14 CuadroTexto">
              <a:extLst>
                <a:ext uri="{FF2B5EF4-FFF2-40B4-BE49-F238E27FC236}">
                  <a16:creationId xmlns:a16="http://schemas.microsoft.com/office/drawing/2014/main" id="{7DDCAC15-36EB-782B-2A55-52846FD166A1}"/>
                </a:ext>
              </a:extLst>
            </xdr:cNvPr>
            <xdr:cNvSpPr txBox="1"/>
          </xdr:nvSpPr>
          <xdr:spPr>
            <a:xfrm>
              <a:off x="177844" y="9525387"/>
              <a:ext cx="2468026" cy="55245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C. JOSÉ LUIS MARTÍNEZ RIVERA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SÍNDIC</a:t>
              </a:r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 ÚNICO</a:t>
              </a:r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DE LA COMISIÓN DE HACIENDA</a:t>
              </a:r>
              <a:endParaRPr lang="es-MX" sz="1050" b="1">
                <a:effectLst/>
              </a:endParaRP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Y PATRIMONIO MUNICIPAL</a:t>
              </a:r>
              <a:endParaRPr lang="es-MX" sz="1050" b="1">
                <a:effectLst/>
              </a:endParaRPr>
            </a:p>
          </xdr:txBody>
        </xdr:sp>
        <xdr:sp macro="" textlink="">
          <xdr:nvSpPr>
            <xdr:cNvPr id="11" name="15 CuadroTexto">
              <a:extLst>
                <a:ext uri="{FF2B5EF4-FFF2-40B4-BE49-F238E27FC236}">
                  <a16:creationId xmlns:a16="http://schemas.microsoft.com/office/drawing/2014/main" id="{2E12BEBB-9C9A-91E0-39F5-B5C7A7154791}"/>
                </a:ext>
              </a:extLst>
            </xdr:cNvPr>
            <xdr:cNvSpPr txBox="1"/>
          </xdr:nvSpPr>
          <xdr:spPr>
            <a:xfrm>
              <a:off x="3679334" y="9544389"/>
              <a:ext cx="2494711" cy="5715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LIC. ROSA ISELA HERNÁNDEZ SOTO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REGIDORA DE LA COMISIÓN DE HACIENDA Y PATRIMONIO</a:t>
              </a:r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MUNICIPAL</a:t>
              </a:r>
              <a:endParaRPr lang="es-MX" sz="1050" b="1">
                <a:effectLst/>
              </a:endParaRPr>
            </a:p>
          </xdr:txBody>
        </xdr:sp>
      </xdr:grpSp>
      <xdr:sp macro="" textlink="">
        <xdr:nvSpPr>
          <xdr:cNvPr id="7" name="11 CuadroTexto">
            <a:extLst>
              <a:ext uri="{FF2B5EF4-FFF2-40B4-BE49-F238E27FC236}">
                <a16:creationId xmlns:a16="http://schemas.microsoft.com/office/drawing/2014/main" id="{0BE89D87-4C78-0455-8958-5374E46F6A39}"/>
              </a:ext>
            </a:extLst>
          </xdr:cNvPr>
          <xdr:cNvSpPr txBox="1"/>
        </xdr:nvSpPr>
        <xdr:spPr>
          <a:xfrm>
            <a:off x="1979633" y="8972598"/>
            <a:ext cx="2838450" cy="2762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r>
              <a:rPr lang="es-MX" sz="1050" b="1"/>
              <a:t>COMISIÓN</a:t>
            </a:r>
            <a:r>
              <a:rPr lang="es-MX" sz="1050" b="1" baseline="0"/>
              <a:t> DE HACIENDA MUNICIPAL</a:t>
            </a:r>
            <a:endParaRPr lang="es-MX" sz="1050" b="1"/>
          </a:p>
        </xdr:txBody>
      </xdr:sp>
    </xdr:grpSp>
    <xdr:clientData/>
  </xdr:twoCellAnchor>
  <xdr:twoCellAnchor editAs="oneCell">
    <xdr:from>
      <xdr:col>1</xdr:col>
      <xdr:colOff>292100</xdr:colOff>
      <xdr:row>1</xdr:row>
      <xdr:rowOff>82550</xdr:rowOff>
    </xdr:from>
    <xdr:to>
      <xdr:col>1</xdr:col>
      <xdr:colOff>1267545</xdr:colOff>
      <xdr:row>7</xdr:row>
      <xdr:rowOff>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261B477-C19D-7F18-E4D3-F7DDBDF839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9900" y="260350"/>
          <a:ext cx="975445" cy="965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  <pageSetUpPr fitToPage="1"/>
  </sheetPr>
  <dimension ref="A1:I85"/>
  <sheetViews>
    <sheetView view="pageBreakPreview" topLeftCell="A46" zoomScaleSheetLayoutView="100" workbookViewId="0">
      <selection activeCell="E65" sqref="E65"/>
    </sheetView>
  </sheetViews>
  <sheetFormatPr baseColWidth="10" defaultColWidth="11.42578125" defaultRowHeight="12.75" x14ac:dyDescent="0.2"/>
  <cols>
    <col min="1" max="1" width="1.140625" style="26" customWidth="1"/>
    <col min="2" max="2" width="13.42578125" style="26" customWidth="1"/>
    <col min="3" max="3" width="12.42578125" style="26" customWidth="1"/>
    <col min="4" max="4" width="30.42578125" style="26" customWidth="1"/>
    <col min="5" max="5" width="34.85546875" style="26" customWidth="1"/>
    <col min="6" max="6" width="15.42578125" style="26" customWidth="1"/>
    <col min="7" max="7" width="32.140625" style="26" customWidth="1"/>
    <col min="8" max="16384" width="11.42578125" style="26"/>
  </cols>
  <sheetData>
    <row r="1" spans="2:7" x14ac:dyDescent="0.2">
      <c r="G1" s="27" t="s">
        <v>0</v>
      </c>
    </row>
    <row r="2" spans="2:7" ht="14.25" x14ac:dyDescent="0.2">
      <c r="B2" s="150"/>
      <c r="C2" s="150"/>
      <c r="D2" s="150"/>
      <c r="E2" s="150"/>
      <c r="F2" s="150"/>
      <c r="G2" s="28"/>
    </row>
    <row r="3" spans="2:7" ht="14.25" x14ac:dyDescent="0.2">
      <c r="B3" s="151" t="s">
        <v>1</v>
      </c>
      <c r="C3" s="151"/>
      <c r="D3" s="151"/>
      <c r="E3" s="151"/>
      <c r="F3" s="151"/>
      <c r="G3" s="151"/>
    </row>
    <row r="4" spans="2:7" x14ac:dyDescent="0.2">
      <c r="B4" s="151" t="s">
        <v>22</v>
      </c>
      <c r="C4" s="151"/>
      <c r="D4" s="151"/>
      <c r="E4" s="151"/>
      <c r="F4" s="151"/>
      <c r="G4" s="151"/>
    </row>
    <row r="5" spans="2:7" x14ac:dyDescent="0.2">
      <c r="B5" s="151"/>
      <c r="C5" s="151"/>
      <c r="D5" s="151"/>
      <c r="E5" s="151"/>
      <c r="F5" s="151"/>
      <c r="G5" s="151"/>
    </row>
    <row r="6" spans="2:7" ht="14.25" x14ac:dyDescent="0.2">
      <c r="B6" s="151" t="s">
        <v>26</v>
      </c>
      <c r="C6" s="151"/>
      <c r="D6" s="151"/>
      <c r="E6" s="151"/>
      <c r="F6" s="151"/>
      <c r="G6" s="151"/>
    </row>
    <row r="7" spans="2:7" ht="30.75" customHeight="1" x14ac:dyDescent="0.2"/>
    <row r="8" spans="2:7" ht="14.25" x14ac:dyDescent="0.2">
      <c r="B8" s="151" t="s">
        <v>39</v>
      </c>
      <c r="C8" s="151"/>
      <c r="D8" s="151"/>
      <c r="E8" s="151"/>
      <c r="F8" s="151"/>
      <c r="G8" s="151"/>
    </row>
    <row r="9" spans="2:7" ht="15" thickBot="1" x14ac:dyDescent="0.25">
      <c r="B9" s="29"/>
      <c r="C9" s="29"/>
      <c r="D9" s="29"/>
      <c r="E9" s="29"/>
      <c r="F9" s="29"/>
      <c r="G9" s="29"/>
    </row>
    <row r="10" spans="2:7" ht="15" x14ac:dyDescent="0.2">
      <c r="B10" s="142" t="s">
        <v>27</v>
      </c>
      <c r="C10" s="143"/>
      <c r="D10" s="143"/>
      <c r="E10" s="143"/>
      <c r="F10" s="143"/>
      <c r="G10" s="144"/>
    </row>
    <row r="11" spans="2:7" ht="14.25" x14ac:dyDescent="0.2">
      <c r="B11" s="104"/>
      <c r="C11" s="105"/>
      <c r="D11" s="105"/>
      <c r="E11" s="105"/>
      <c r="F11" s="105"/>
      <c r="G11" s="106"/>
    </row>
    <row r="12" spans="2:7" ht="14.25" x14ac:dyDescent="0.2">
      <c r="B12" s="145" t="s">
        <v>28</v>
      </c>
      <c r="C12" s="146"/>
      <c r="D12" s="146"/>
      <c r="E12" s="146"/>
      <c r="F12" s="146"/>
      <c r="G12" s="147"/>
    </row>
    <row r="13" spans="2:7" ht="14.25" x14ac:dyDescent="0.2">
      <c r="B13" s="107"/>
      <c r="C13" s="108"/>
      <c r="D13" s="108"/>
      <c r="E13" s="108"/>
      <c r="F13" s="108"/>
      <c r="G13" s="109"/>
    </row>
    <row r="14" spans="2:7" ht="15" x14ac:dyDescent="0.2">
      <c r="B14" s="104" t="s">
        <v>35</v>
      </c>
      <c r="C14" s="110"/>
      <c r="D14" s="108"/>
      <c r="E14" s="108"/>
      <c r="F14" s="111" t="s">
        <v>29</v>
      </c>
      <c r="G14" s="112"/>
    </row>
    <row r="15" spans="2:7" ht="15" thickBot="1" x14ac:dyDescent="0.25">
      <c r="B15" s="113" t="s">
        <v>24</v>
      </c>
      <c r="C15" s="114"/>
      <c r="D15" s="115"/>
      <c r="E15" s="115"/>
      <c r="F15" s="116" t="s">
        <v>23</v>
      </c>
      <c r="G15" s="117"/>
    </row>
    <row r="16" spans="2:7" ht="14.25" x14ac:dyDescent="0.2">
      <c r="B16" s="30"/>
      <c r="D16" s="29"/>
      <c r="E16" s="29"/>
      <c r="F16" s="60"/>
      <c r="G16" s="31"/>
    </row>
    <row r="17" spans="2:9" ht="18.75" customHeight="1" x14ac:dyDescent="0.2">
      <c r="B17" s="148" t="s">
        <v>40</v>
      </c>
      <c r="C17" s="149"/>
      <c r="D17" s="149"/>
      <c r="E17" s="149"/>
      <c r="F17" s="149"/>
      <c r="G17" s="64">
        <v>36983.53</v>
      </c>
      <c r="H17" s="63"/>
      <c r="I17" s="100"/>
    </row>
    <row r="18" spans="2:9" ht="15" x14ac:dyDescent="0.2">
      <c r="B18" s="61"/>
      <c r="C18" s="62"/>
      <c r="D18" s="62"/>
      <c r="E18" s="62"/>
      <c r="F18" s="62"/>
      <c r="G18" s="32"/>
    </row>
    <row r="19" spans="2:9" ht="15" x14ac:dyDescent="0.2">
      <c r="B19" s="33" t="s">
        <v>2</v>
      </c>
      <c r="C19" s="34"/>
      <c r="D19" s="34"/>
      <c r="E19" s="34"/>
      <c r="F19" s="34"/>
      <c r="G19" s="39">
        <f>+SUM(F21:F41)</f>
        <v>154783.85</v>
      </c>
    </row>
    <row r="20" spans="2:9" ht="14.25" x14ac:dyDescent="0.2">
      <c r="B20" s="40" t="s">
        <v>14</v>
      </c>
      <c r="C20" s="141" t="s">
        <v>17</v>
      </c>
      <c r="D20" s="141"/>
      <c r="E20" s="141"/>
      <c r="F20" s="56" t="s">
        <v>18</v>
      </c>
      <c r="G20" s="35"/>
    </row>
    <row r="21" spans="2:9" ht="14.25" x14ac:dyDescent="0.2">
      <c r="B21" s="43" t="str">
        <f>+'DEPOSITOS CTA FISCALES'!B18</f>
        <v>31/03/2026</v>
      </c>
      <c r="C21" s="139"/>
      <c r="D21" s="155" t="str">
        <f>+'DEPOSITOS CTA FISCALES'!D18</f>
        <v>REGISTRO DEL DEPOSITO DE LA RECAUDACION DEL DIA 02 DE MARZO DE 2026</v>
      </c>
      <c r="E21" s="155"/>
      <c r="F21" s="45">
        <f>+'DEPOSITOS CTA FISCALES'!E18</f>
        <v>10380.24</v>
      </c>
      <c r="G21" s="35"/>
    </row>
    <row r="22" spans="2:9" ht="14.25" x14ac:dyDescent="0.2">
      <c r="B22" s="43" t="str">
        <f>+'DEPOSITOS CTA FISCALES'!B19</f>
        <v>31/03/2026</v>
      </c>
      <c r="C22" s="139"/>
      <c r="D22" s="155" t="str">
        <f>+'DEPOSITOS CTA FISCALES'!D19</f>
        <v>REGISTRO DEL DEPOSITO DE LA RECAUDACION DEL DIA 03 DE MARZO DE 2026</v>
      </c>
      <c r="E22" s="155"/>
      <c r="F22" s="45">
        <f>+'DEPOSITOS CTA FISCALES'!E19</f>
        <v>7339.25</v>
      </c>
      <c r="G22" s="35"/>
    </row>
    <row r="23" spans="2:9" ht="14.25" x14ac:dyDescent="0.2">
      <c r="B23" s="43" t="str">
        <f>+'DEPOSITOS CTA FISCALES'!B20</f>
        <v>31/03/2026</v>
      </c>
      <c r="C23" s="139"/>
      <c r="D23" s="155" t="str">
        <f>+'DEPOSITOS CTA FISCALES'!D20</f>
        <v>REGISTRO DEL DEPOSITO DE LA RECAUDACION DEL DIA 04 DE MARZO DE 2026</v>
      </c>
      <c r="E23" s="155"/>
      <c r="F23" s="45">
        <f>+'DEPOSITOS CTA FISCALES'!E20</f>
        <v>21656.560000000001</v>
      </c>
      <c r="G23" s="35"/>
    </row>
    <row r="24" spans="2:9" ht="14.25" x14ac:dyDescent="0.2">
      <c r="B24" s="43" t="str">
        <f>+'DEPOSITOS CTA FISCALES'!B21</f>
        <v>31/03/2026</v>
      </c>
      <c r="C24" s="139"/>
      <c r="D24" s="155" t="str">
        <f>+'DEPOSITOS CTA FISCALES'!D21</f>
        <v>REGISTRO DEL DEPOSITO DE LA RECAUDACION DEL DIA 05 DE MARZO DE 2026</v>
      </c>
      <c r="E24" s="155"/>
      <c r="F24" s="45">
        <f>+'DEPOSITOS CTA FISCALES'!E21</f>
        <v>4730.4399999999996</v>
      </c>
      <c r="G24" s="35"/>
    </row>
    <row r="25" spans="2:9" ht="14.25" x14ac:dyDescent="0.2">
      <c r="B25" s="43" t="str">
        <f>+'DEPOSITOS CTA FISCALES'!B22</f>
        <v>31/03/2026</v>
      </c>
      <c r="C25" s="139"/>
      <c r="D25" s="155" t="str">
        <f>+'DEPOSITOS CTA FISCALES'!D22</f>
        <v>REGISTRO DEL DEPOSITO DE LA RECAUDACION DEL DIA 06 DE MARZO DE 2026</v>
      </c>
      <c r="E25" s="155"/>
      <c r="F25" s="45">
        <f>+'DEPOSITOS CTA FISCALES'!E22</f>
        <v>8070.35</v>
      </c>
      <c r="G25" s="35"/>
    </row>
    <row r="26" spans="2:9" ht="14.25" x14ac:dyDescent="0.2">
      <c r="B26" s="43" t="str">
        <f>+'DEPOSITOS CTA FISCALES'!B23</f>
        <v>31/03/2026</v>
      </c>
      <c r="C26" s="139"/>
      <c r="D26" s="155" t="str">
        <f>+'DEPOSITOS CTA FISCALES'!D23</f>
        <v>REGISTRO DEL DEPOSITO DE LA RECAUDACION DEL DIA 09 DE MARZO DE 2026</v>
      </c>
      <c r="E26" s="155"/>
      <c r="F26" s="45">
        <f>+'DEPOSITOS CTA FISCALES'!E23</f>
        <v>6100.12</v>
      </c>
      <c r="G26" s="35"/>
    </row>
    <row r="27" spans="2:9" ht="14.25" x14ac:dyDescent="0.2">
      <c r="B27" s="43" t="str">
        <f>+'DEPOSITOS CTA FISCALES'!B24</f>
        <v>31/03/2026</v>
      </c>
      <c r="C27" s="139"/>
      <c r="D27" s="155" t="str">
        <f>+'DEPOSITOS CTA FISCALES'!D24</f>
        <v>REGISTRO DEL DEPOSITO DE LA RECAUDACION DEL DIA 10 DE MARZO DE 2026</v>
      </c>
      <c r="E27" s="155"/>
      <c r="F27" s="45">
        <f>+'DEPOSITOS CTA FISCALES'!E24</f>
        <v>7417.14</v>
      </c>
      <c r="G27" s="35"/>
    </row>
    <row r="28" spans="2:9" ht="14.25" x14ac:dyDescent="0.2">
      <c r="B28" s="43" t="str">
        <f>+'DEPOSITOS CTA FISCALES'!B25</f>
        <v>31/03/2026</v>
      </c>
      <c r="C28" s="139"/>
      <c r="D28" s="155" t="str">
        <f>+'DEPOSITOS CTA FISCALES'!D25</f>
        <v>REGISTRO DEL DEPOSITO DE LA RECAUDACION DEL DIA 11 DE MARZO DE 2026</v>
      </c>
      <c r="E28" s="155"/>
      <c r="F28" s="45">
        <f>+'DEPOSITOS CTA FISCALES'!E25</f>
        <v>2763.14</v>
      </c>
      <c r="G28" s="35"/>
    </row>
    <row r="29" spans="2:9" ht="14.25" x14ac:dyDescent="0.2">
      <c r="B29" s="43" t="str">
        <f>+'DEPOSITOS CTA FISCALES'!B26</f>
        <v>31/03/2026</v>
      </c>
      <c r="C29" s="139"/>
      <c r="D29" s="155" t="str">
        <f>+'DEPOSITOS CTA FISCALES'!D26</f>
        <v>REGISTRO DEL DEPOSITO DE LA RECAUDACION DEL DIA 12 DE MARZO DE 2026</v>
      </c>
      <c r="E29" s="155"/>
      <c r="F29" s="45">
        <f>+'DEPOSITOS CTA FISCALES'!E26</f>
        <v>3149.6</v>
      </c>
      <c r="G29" s="35"/>
    </row>
    <row r="30" spans="2:9" ht="14.25" x14ac:dyDescent="0.2">
      <c r="B30" s="43" t="str">
        <f>+'DEPOSITOS CTA FISCALES'!B27</f>
        <v>31/03/2026</v>
      </c>
      <c r="C30" s="139"/>
      <c r="D30" s="155" t="str">
        <f>+'DEPOSITOS CTA FISCALES'!D27</f>
        <v>REGISTRO DEL DEPOSITO DE LA RECAUDACION DEL DIA 13 DE MARZO DE 2026</v>
      </c>
      <c r="E30" s="155"/>
      <c r="F30" s="45">
        <f>+'DEPOSITOS CTA FISCALES'!E27</f>
        <v>7159.05</v>
      </c>
      <c r="G30" s="35"/>
    </row>
    <row r="31" spans="2:9" ht="14.25" x14ac:dyDescent="0.2">
      <c r="B31" s="43" t="str">
        <f>+'DEPOSITOS CTA FISCALES'!B28</f>
        <v>31/03/2026</v>
      </c>
      <c r="C31" s="139"/>
      <c r="D31" s="155" t="str">
        <f>+'DEPOSITOS CTA FISCALES'!D28</f>
        <v>REGISTRO DEL DEPOSITO DE LA RECAUDACION DEL DIA 17 DE MARZO DE 2026</v>
      </c>
      <c r="E31" s="155"/>
      <c r="F31" s="45">
        <f>+'DEPOSITOS CTA FISCALES'!E28</f>
        <v>12323.76</v>
      </c>
      <c r="G31" s="35"/>
    </row>
    <row r="32" spans="2:9" ht="14.25" x14ac:dyDescent="0.2">
      <c r="B32" s="43" t="str">
        <f>+'DEPOSITOS CTA FISCALES'!B29</f>
        <v>31/03/2026</v>
      </c>
      <c r="C32" s="139"/>
      <c r="D32" s="155" t="str">
        <f>+'DEPOSITOS CTA FISCALES'!D29</f>
        <v>REGISTRO DEL DEPOSITO DE LA RECAUDACION DEL DIA 18 DE MARZO DE 2026</v>
      </c>
      <c r="E32" s="155"/>
      <c r="F32" s="45">
        <f>+'DEPOSITOS CTA FISCALES'!E29</f>
        <v>6022.32</v>
      </c>
      <c r="G32" s="35"/>
    </row>
    <row r="33" spans="2:7" ht="14.25" x14ac:dyDescent="0.2">
      <c r="B33" s="43" t="str">
        <f>+'DEPOSITOS CTA FISCALES'!B30</f>
        <v>31/03/2026</v>
      </c>
      <c r="C33" s="139"/>
      <c r="D33" s="155" t="str">
        <f>+'DEPOSITOS CTA FISCALES'!D30</f>
        <v>REGISTRO DEL DEPOSITO DE LA RECAUDACION DEL DIA 20 DE MARZO DE 2026</v>
      </c>
      <c r="E33" s="155"/>
      <c r="F33" s="45">
        <f>+'DEPOSITOS CTA FISCALES'!E30</f>
        <v>15703</v>
      </c>
      <c r="G33" s="35"/>
    </row>
    <row r="34" spans="2:7" ht="14.25" x14ac:dyDescent="0.2">
      <c r="B34" s="43" t="str">
        <f>+'DEPOSITOS CTA FISCALES'!B31</f>
        <v>31/03/2026</v>
      </c>
      <c r="C34" s="139"/>
      <c r="D34" s="155" t="str">
        <f>+'DEPOSITOS CTA FISCALES'!D31</f>
        <v>REGISTRO DEL DEPOSITO DE LA RECAUDACION DEL DIA 23 DE MARZO DE 2026</v>
      </c>
      <c r="E34" s="155"/>
      <c r="F34" s="45">
        <f>+'DEPOSITOS CTA FISCALES'!E31</f>
        <v>7945.31</v>
      </c>
      <c r="G34" s="35"/>
    </row>
    <row r="35" spans="2:7" ht="14.25" x14ac:dyDescent="0.2">
      <c r="B35" s="43" t="str">
        <f>+'DEPOSITOS CTA FISCALES'!B32</f>
        <v>31/03/2026</v>
      </c>
      <c r="C35" s="139"/>
      <c r="D35" s="155" t="str">
        <f>+'DEPOSITOS CTA FISCALES'!D32</f>
        <v>REGISTRO DEL DEPOSITO DE LA RECAUDACION DEL DIA 24 DE MARZO DE 2026</v>
      </c>
      <c r="E35" s="155"/>
      <c r="F35" s="45">
        <f>+'DEPOSITOS CTA FISCALES'!E32</f>
        <v>3101.45</v>
      </c>
      <c r="G35" s="35"/>
    </row>
    <row r="36" spans="2:7" ht="14.25" x14ac:dyDescent="0.2">
      <c r="B36" s="43" t="str">
        <f>+'DEPOSITOS CTA FISCALES'!B33</f>
        <v>31/03/2026</v>
      </c>
      <c r="C36" s="139"/>
      <c r="D36" s="155" t="str">
        <f>+'DEPOSITOS CTA FISCALES'!D33</f>
        <v>REGISTRO DEL DEPOSITO DE LA RECAUDACION DEL DIA 25 DE MARZO DE 2026</v>
      </c>
      <c r="E36" s="155"/>
      <c r="F36" s="45">
        <f>+'DEPOSITOS CTA FISCALES'!E33</f>
        <v>3814.17</v>
      </c>
      <c r="G36" s="35"/>
    </row>
    <row r="37" spans="2:7" ht="14.25" x14ac:dyDescent="0.2">
      <c r="B37" s="43" t="str">
        <f>+'DEPOSITOS CTA FISCALES'!B34</f>
        <v>31/03/2026</v>
      </c>
      <c r="C37" s="139"/>
      <c r="D37" s="155" t="str">
        <f>+'DEPOSITOS CTA FISCALES'!D34</f>
        <v>REGISTRO DEL DEPOSITO DE LA RECAUDACION DEL DIA 26 DE MARZO DE 2026</v>
      </c>
      <c r="E37" s="155"/>
      <c r="F37" s="45">
        <f>+'DEPOSITOS CTA FISCALES'!E34</f>
        <v>1849.44</v>
      </c>
      <c r="G37" s="35"/>
    </row>
    <row r="38" spans="2:7" ht="14.25" x14ac:dyDescent="0.2">
      <c r="B38" s="43" t="str">
        <f>+'DEPOSITOS CTA FISCALES'!B35</f>
        <v>31/03/2026</v>
      </c>
      <c r="C38" s="139"/>
      <c r="D38" s="155" t="str">
        <f>+'DEPOSITOS CTA FISCALES'!D35</f>
        <v>REGISTRO DEL DEPOSITO DE LA RECAUDACION DEL DIA 27 DE MARZO DE 2026</v>
      </c>
      <c r="E38" s="155"/>
      <c r="F38" s="45">
        <f>+'DEPOSITOS CTA FISCALES'!E35</f>
        <v>2731.88</v>
      </c>
      <c r="G38" s="35"/>
    </row>
    <row r="39" spans="2:7" ht="14.25" x14ac:dyDescent="0.2">
      <c r="B39" s="43">
        <f>+'DEPOSITOS CTA FISCALES'!B36</f>
        <v>46112</v>
      </c>
      <c r="C39" s="139"/>
      <c r="D39" s="155" t="str">
        <f>+'DEPOSITOS CTA FISCALES'!D36</f>
        <v>REGISTRO DEL DEPOSITO DE LA RECAUDACION DEL DIA 30 DE MARZO DE 2026</v>
      </c>
      <c r="E39" s="155"/>
      <c r="F39" s="45">
        <f>+'DEPOSITOS CTA FISCALES'!E36</f>
        <v>5450.12</v>
      </c>
      <c r="G39" s="35"/>
    </row>
    <row r="40" spans="2:7" ht="14.25" x14ac:dyDescent="0.2">
      <c r="B40" s="43" t="str">
        <f>+'DEPOSITOS CTA FISCALES'!B37</f>
        <v>31/03/2026</v>
      </c>
      <c r="C40" s="139"/>
      <c r="D40" s="155" t="str">
        <f>+'DEPOSITOS CTA FISCALES'!D37</f>
        <v>REGISTRO DEL DEPOSITO DE LA RECAUDACION DEL DIA 31 DE MARZO DE 2026</v>
      </c>
      <c r="E40" s="155"/>
      <c r="F40" s="45">
        <f>+'DEPOSITOS CTA FISCALES'!E37</f>
        <v>17076.509999999998</v>
      </c>
      <c r="G40" s="35"/>
    </row>
    <row r="41" spans="2:7" ht="14.25" x14ac:dyDescent="0.2">
      <c r="B41" s="40"/>
      <c r="C41" s="137"/>
      <c r="D41" s="141"/>
      <c r="E41" s="141"/>
      <c r="F41" s="56"/>
      <c r="G41" s="35"/>
    </row>
    <row r="42" spans="2:7" ht="15" x14ac:dyDescent="0.2">
      <c r="B42" s="33" t="s">
        <v>3</v>
      </c>
      <c r="C42" s="34"/>
      <c r="D42" s="34"/>
      <c r="E42" s="34"/>
      <c r="F42" s="34"/>
      <c r="G42" s="39">
        <f>SUM(F44:F44)</f>
        <v>0</v>
      </c>
    </row>
    <row r="43" spans="2:7" ht="14.25" x14ac:dyDescent="0.2">
      <c r="B43" s="40" t="s">
        <v>6</v>
      </c>
      <c r="C43" s="119" t="s">
        <v>38</v>
      </c>
      <c r="D43" s="141" t="s">
        <v>7</v>
      </c>
      <c r="E43" s="141"/>
      <c r="F43" s="56" t="s">
        <v>18</v>
      </c>
      <c r="G43" s="35"/>
    </row>
    <row r="44" spans="2:7" ht="16.350000000000001" customHeight="1" x14ac:dyDescent="0.2">
      <c r="B44" s="57"/>
      <c r="C44" s="65"/>
      <c r="D44" s="156"/>
      <c r="E44" s="156"/>
      <c r="F44" s="42"/>
      <c r="G44" s="35"/>
    </row>
    <row r="45" spans="2:7" s="44" customFormat="1" ht="16.350000000000001" customHeight="1" x14ac:dyDescent="0.2">
      <c r="B45" s="43"/>
      <c r="D45" s="155"/>
      <c r="E45" s="155"/>
      <c r="F45" s="45"/>
      <c r="G45" s="46"/>
    </row>
    <row r="46" spans="2:7" ht="15" x14ac:dyDescent="0.2">
      <c r="B46" s="33" t="s">
        <v>4</v>
      </c>
      <c r="C46" s="34"/>
      <c r="D46" s="34"/>
      <c r="E46" s="34"/>
      <c r="F46" s="34"/>
      <c r="G46" s="47" t="s">
        <v>5</v>
      </c>
    </row>
    <row r="47" spans="2:7" ht="15" x14ac:dyDescent="0.2">
      <c r="B47" s="36" t="s">
        <v>6</v>
      </c>
      <c r="C47" s="37"/>
      <c r="D47" s="37" t="s">
        <v>7</v>
      </c>
      <c r="E47" s="37"/>
      <c r="F47" s="37" t="s">
        <v>8</v>
      </c>
      <c r="G47" s="38"/>
    </row>
    <row r="48" spans="2:7" ht="15" x14ac:dyDescent="0.2">
      <c r="B48" s="33"/>
      <c r="C48" s="34"/>
      <c r="D48" s="34"/>
      <c r="E48" s="34"/>
      <c r="F48" s="34"/>
      <c r="G48" s="32"/>
    </row>
    <row r="49" spans="2:9" ht="15" x14ac:dyDescent="0.2">
      <c r="B49" s="33" t="s">
        <v>9</v>
      </c>
      <c r="C49" s="34"/>
      <c r="D49" s="34"/>
      <c r="E49" s="34"/>
      <c r="F49" s="34"/>
      <c r="G49" s="47" t="s">
        <v>5</v>
      </c>
    </row>
    <row r="50" spans="2:9" ht="15" x14ac:dyDescent="0.2">
      <c r="B50" s="36" t="s">
        <v>6</v>
      </c>
      <c r="C50" s="37"/>
      <c r="D50" s="37" t="s">
        <v>7</v>
      </c>
      <c r="E50" s="37"/>
      <c r="F50" s="37" t="s">
        <v>8</v>
      </c>
      <c r="G50" s="38"/>
    </row>
    <row r="51" spans="2:9" ht="15" x14ac:dyDescent="0.2">
      <c r="B51" s="33"/>
      <c r="C51" s="34"/>
      <c r="D51" s="34"/>
      <c r="E51" s="34"/>
      <c r="F51" s="34"/>
      <c r="G51" s="48"/>
    </row>
    <row r="52" spans="2:9" ht="15" x14ac:dyDescent="0.2">
      <c r="B52" s="33"/>
      <c r="C52" s="34"/>
      <c r="D52" s="34"/>
      <c r="E52" s="34"/>
      <c r="F52" s="34"/>
      <c r="G52" s="32"/>
    </row>
    <row r="53" spans="2:9" ht="16.5" x14ac:dyDescent="0.2">
      <c r="B53" s="33" t="s">
        <v>10</v>
      </c>
      <c r="C53" s="34"/>
      <c r="D53" s="34"/>
      <c r="E53" s="34"/>
      <c r="F53" s="34"/>
      <c r="G53" s="49">
        <f>+G17+G19-G42</f>
        <v>191767.38</v>
      </c>
      <c r="H53" s="63" t="s">
        <v>62</v>
      </c>
      <c r="I53" s="100">
        <f>+H53-G53</f>
        <v>0</v>
      </c>
    </row>
    <row r="54" spans="2:9" ht="15.75" thickBot="1" x14ac:dyDescent="0.25">
      <c r="B54" s="33"/>
      <c r="C54" s="34"/>
      <c r="D54" s="34"/>
      <c r="E54" s="34"/>
      <c r="F54" s="34"/>
      <c r="G54" s="32"/>
    </row>
    <row r="55" spans="2:9" ht="16.350000000000001" customHeight="1" x14ac:dyDescent="0.2">
      <c r="B55" s="51"/>
      <c r="C55" s="52"/>
      <c r="D55" s="52"/>
      <c r="E55" s="52"/>
      <c r="F55" s="52"/>
      <c r="G55" s="53"/>
      <c r="H55" s="63"/>
    </row>
    <row r="56" spans="2:9" ht="16.350000000000001" customHeight="1" x14ac:dyDescent="0.2">
      <c r="B56" s="33"/>
      <c r="C56" s="34"/>
      <c r="D56" s="34"/>
      <c r="E56" s="34"/>
      <c r="F56" s="34"/>
      <c r="G56" s="50"/>
    </row>
    <row r="57" spans="2:9" ht="16.350000000000001" customHeight="1" x14ac:dyDescent="0.2">
      <c r="B57" s="33"/>
      <c r="C57" s="34"/>
      <c r="D57" s="34"/>
      <c r="E57" s="34"/>
      <c r="F57" s="34"/>
      <c r="G57" s="50"/>
    </row>
    <row r="58" spans="2:9" ht="16.350000000000001" customHeight="1" x14ac:dyDescent="0.2">
      <c r="B58" s="33"/>
      <c r="C58" s="54"/>
      <c r="D58" s="29"/>
      <c r="E58" s="34"/>
      <c r="F58" s="54"/>
      <c r="G58" s="50"/>
    </row>
    <row r="59" spans="2:9" ht="16.350000000000001" customHeight="1" x14ac:dyDescent="0.2">
      <c r="B59" s="33"/>
      <c r="C59" s="54"/>
      <c r="D59" s="89"/>
      <c r="E59" s="89"/>
      <c r="F59" s="90"/>
      <c r="G59" s="50"/>
    </row>
    <row r="60" spans="2:9" ht="16.350000000000001" customHeight="1" x14ac:dyDescent="0.2">
      <c r="B60" s="33"/>
      <c r="C60" s="54"/>
      <c r="D60" s="138"/>
      <c r="E60" s="138"/>
      <c r="F60" s="140"/>
      <c r="G60" s="50"/>
    </row>
    <row r="61" spans="2:9" ht="16.350000000000001" customHeight="1" x14ac:dyDescent="0.2">
      <c r="B61" s="33"/>
      <c r="C61" s="54"/>
      <c r="D61" s="138"/>
      <c r="E61" s="138"/>
      <c r="F61" s="140"/>
      <c r="G61" s="50"/>
    </row>
    <row r="62" spans="2:9" ht="16.350000000000001" customHeight="1" x14ac:dyDescent="0.2">
      <c r="B62" s="33"/>
      <c r="C62" s="54"/>
      <c r="D62" s="138"/>
      <c r="E62" s="138"/>
      <c r="F62" s="140"/>
      <c r="G62" s="50"/>
    </row>
    <row r="63" spans="2:9" ht="16.350000000000001" customHeight="1" x14ac:dyDescent="0.2">
      <c r="B63" s="33"/>
      <c r="C63" s="54"/>
      <c r="D63" s="138"/>
      <c r="E63" s="138"/>
      <c r="F63" s="140"/>
      <c r="G63" s="50"/>
    </row>
    <row r="64" spans="2:9" ht="16.350000000000001" customHeight="1" x14ac:dyDescent="0.2">
      <c r="B64" s="33"/>
      <c r="C64" s="54"/>
      <c r="D64" s="138"/>
      <c r="E64" s="138"/>
      <c r="F64" s="140"/>
      <c r="G64" s="50"/>
    </row>
    <row r="65" spans="1:7" s="55" customFormat="1" ht="16.350000000000001" customHeight="1" x14ac:dyDescent="0.2">
      <c r="A65" s="26"/>
      <c r="B65" s="33"/>
      <c r="C65" s="54"/>
      <c r="D65" s="89"/>
      <c r="E65" s="89"/>
      <c r="F65" s="90"/>
      <c r="G65" s="50"/>
    </row>
    <row r="66" spans="1:7" s="55" customFormat="1" ht="16.350000000000001" customHeight="1" x14ac:dyDescent="0.2">
      <c r="A66" s="26"/>
      <c r="B66" s="33"/>
      <c r="C66" s="90"/>
      <c r="D66" s="89"/>
      <c r="E66" s="89"/>
      <c r="F66" s="90"/>
      <c r="G66" s="50"/>
    </row>
    <row r="67" spans="1:7" s="55" customFormat="1" ht="16.350000000000001" customHeight="1" x14ac:dyDescent="0.2">
      <c r="A67" s="26"/>
      <c r="B67" s="152"/>
      <c r="C67" s="153"/>
      <c r="D67" s="153"/>
      <c r="E67" s="153"/>
      <c r="F67" s="153"/>
      <c r="G67" s="154"/>
    </row>
    <row r="68" spans="1:7" s="55" customFormat="1" ht="16.350000000000001" customHeight="1" x14ac:dyDescent="0.2">
      <c r="A68" s="26"/>
      <c r="B68" s="33"/>
      <c r="C68" s="90"/>
      <c r="D68" s="89"/>
      <c r="E68" s="89"/>
      <c r="F68" s="90"/>
      <c r="G68" s="50"/>
    </row>
    <row r="69" spans="1:7" s="55" customFormat="1" ht="16.350000000000001" customHeight="1" x14ac:dyDescent="0.2">
      <c r="A69" s="26"/>
      <c r="B69" s="33"/>
      <c r="C69" s="90"/>
      <c r="D69" s="89"/>
      <c r="E69" s="89"/>
      <c r="F69" s="90"/>
      <c r="G69" s="50"/>
    </row>
    <row r="70" spans="1:7" s="55" customFormat="1" ht="16.350000000000001" customHeight="1" x14ac:dyDescent="0.2">
      <c r="A70" s="26"/>
      <c r="B70" s="33"/>
      <c r="C70" s="90"/>
      <c r="D70" s="89"/>
      <c r="E70" s="89"/>
      <c r="F70" s="90"/>
      <c r="G70" s="50"/>
    </row>
    <row r="71" spans="1:7" s="55" customFormat="1" ht="16.350000000000001" customHeight="1" x14ac:dyDescent="0.2">
      <c r="B71" s="33"/>
      <c r="C71" s="90"/>
      <c r="D71" s="89"/>
      <c r="E71" s="89"/>
      <c r="F71" s="90"/>
      <c r="G71" s="50"/>
    </row>
    <row r="72" spans="1:7" s="55" customFormat="1" ht="16.350000000000001" customHeight="1" x14ac:dyDescent="0.2">
      <c r="B72" s="33"/>
      <c r="C72" s="90"/>
      <c r="D72" s="89"/>
      <c r="E72" s="89"/>
      <c r="F72" s="90"/>
      <c r="G72" s="50"/>
    </row>
    <row r="73" spans="1:7" s="55" customFormat="1" ht="16.350000000000001" customHeight="1" x14ac:dyDescent="0.2">
      <c r="B73" s="30"/>
      <c r="C73" s="29"/>
      <c r="D73" s="29"/>
      <c r="E73" s="29"/>
      <c r="F73" s="29"/>
      <c r="G73" s="31"/>
    </row>
    <row r="74" spans="1:7" s="55" customFormat="1" ht="16.350000000000001" customHeight="1" x14ac:dyDescent="0.2">
      <c r="B74" s="30"/>
      <c r="C74" s="29"/>
      <c r="D74" s="29"/>
      <c r="E74" s="29"/>
      <c r="F74" s="29"/>
      <c r="G74" s="31"/>
    </row>
    <row r="75" spans="1:7" s="55" customFormat="1" ht="13.5" thickBot="1" x14ac:dyDescent="0.25">
      <c r="B75" s="97"/>
      <c r="C75" s="98"/>
      <c r="D75" s="98"/>
      <c r="E75" s="98"/>
      <c r="F75" s="98"/>
      <c r="G75" s="99"/>
    </row>
    <row r="76" spans="1:7" s="55" customFormat="1" x14ac:dyDescent="0.2">
      <c r="B76" s="26"/>
      <c r="C76" s="26"/>
      <c r="D76" s="26"/>
      <c r="E76" s="26"/>
      <c r="F76" s="26"/>
      <c r="G76" s="26"/>
    </row>
    <row r="77" spans="1:7" s="55" customFormat="1" x14ac:dyDescent="0.2">
      <c r="B77" s="26"/>
      <c r="C77" s="26"/>
      <c r="D77" s="26"/>
      <c r="E77" s="26"/>
      <c r="F77" s="44"/>
      <c r="G77" s="41"/>
    </row>
    <row r="78" spans="1:7" s="55" customFormat="1" x14ac:dyDescent="0.2">
      <c r="B78" s="26"/>
      <c r="C78" s="26"/>
      <c r="D78" s="26"/>
      <c r="E78" s="26"/>
      <c r="F78" s="44"/>
      <c r="G78" s="41"/>
    </row>
    <row r="79" spans="1:7" s="55" customFormat="1" x14ac:dyDescent="0.2">
      <c r="B79" s="26"/>
      <c r="C79" s="26"/>
      <c r="D79" s="26"/>
      <c r="E79" s="26"/>
      <c r="F79" s="26"/>
      <c r="G79" s="26"/>
    </row>
    <row r="80" spans="1:7" s="55" customFormat="1" x14ac:dyDescent="0.2">
      <c r="B80" s="26"/>
      <c r="C80" s="26"/>
      <c r="D80" s="26"/>
      <c r="E80" s="26"/>
      <c r="F80" s="26"/>
      <c r="G80" s="26"/>
    </row>
    <row r="81" spans="2:7" s="55" customFormat="1" x14ac:dyDescent="0.2">
      <c r="B81" s="26"/>
      <c r="C81" s="26"/>
      <c r="D81" s="26"/>
      <c r="E81" s="26"/>
      <c r="F81" s="26"/>
      <c r="G81" s="26"/>
    </row>
    <row r="82" spans="2:7" s="55" customFormat="1" x14ac:dyDescent="0.2">
      <c r="B82" s="26"/>
      <c r="C82" s="26"/>
      <c r="D82" s="26"/>
      <c r="E82" s="26"/>
      <c r="F82" s="26"/>
      <c r="G82" s="26"/>
    </row>
    <row r="83" spans="2:7" s="55" customFormat="1" x14ac:dyDescent="0.2">
      <c r="B83" s="26"/>
      <c r="C83" s="26"/>
      <c r="D83" s="26"/>
      <c r="E83" s="26"/>
      <c r="F83" s="26"/>
      <c r="G83" s="41"/>
    </row>
    <row r="84" spans="2:7" s="55" customFormat="1" x14ac:dyDescent="0.2">
      <c r="B84" s="26"/>
      <c r="C84" s="26"/>
      <c r="D84" s="26"/>
      <c r="E84" s="26"/>
      <c r="F84" s="26"/>
      <c r="G84" s="41"/>
    </row>
    <row r="85" spans="2:7" s="55" customFormat="1" x14ac:dyDescent="0.2">
      <c r="B85" s="26"/>
      <c r="C85" s="26"/>
      <c r="D85" s="26"/>
      <c r="E85" s="26"/>
      <c r="F85" s="26"/>
      <c r="G85" s="26"/>
    </row>
  </sheetData>
  <mergeCells count="34">
    <mergeCell ref="D40:E40"/>
    <mergeCell ref="D41:E41"/>
    <mergeCell ref="D39:E39"/>
    <mergeCell ref="D35:E35"/>
    <mergeCell ref="D34:E34"/>
    <mergeCell ref="D36:E36"/>
    <mergeCell ref="D37:E37"/>
    <mergeCell ref="D38:E38"/>
    <mergeCell ref="D29:E29"/>
    <mergeCell ref="D30:E30"/>
    <mergeCell ref="D31:E31"/>
    <mergeCell ref="D32:E32"/>
    <mergeCell ref="D33:E33"/>
    <mergeCell ref="D24:E24"/>
    <mergeCell ref="D25:E25"/>
    <mergeCell ref="D26:E26"/>
    <mergeCell ref="D27:E27"/>
    <mergeCell ref="D28:E28"/>
    <mergeCell ref="B67:G67"/>
    <mergeCell ref="D45:E45"/>
    <mergeCell ref="D43:E43"/>
    <mergeCell ref="D44:E44"/>
    <mergeCell ref="B2:F2"/>
    <mergeCell ref="B3:G3"/>
    <mergeCell ref="B4:G5"/>
    <mergeCell ref="B6:G6"/>
    <mergeCell ref="B8:G8"/>
    <mergeCell ref="D21:E21"/>
    <mergeCell ref="D22:E22"/>
    <mergeCell ref="D23:E23"/>
    <mergeCell ref="B10:G10"/>
    <mergeCell ref="B12:G12"/>
    <mergeCell ref="B17:F17"/>
    <mergeCell ref="C20:E20"/>
  </mergeCells>
  <printOptions horizontalCentered="1"/>
  <pageMargins left="0.51181102362204722" right="0.51181102362204722" top="0.35433070866141736" bottom="0.55118110236220474" header="0.31496062992125984" footer="0.31496062992125984"/>
  <pageSetup scale="64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  <pageSetUpPr fitToPage="1"/>
  </sheetPr>
  <dimension ref="A1:J48"/>
  <sheetViews>
    <sheetView view="pageBreakPreview" topLeftCell="A16" zoomScaleSheetLayoutView="100" workbookViewId="0">
      <selection activeCell="A20" sqref="A20:XFD21"/>
    </sheetView>
  </sheetViews>
  <sheetFormatPr baseColWidth="10" defaultColWidth="11.42578125" defaultRowHeight="12.75" x14ac:dyDescent="0.2"/>
  <cols>
    <col min="1" max="1" width="2.5703125" style="54" customWidth="1"/>
    <col min="2" max="2" width="10.85546875" style="54" customWidth="1"/>
    <col min="3" max="3" width="9.42578125" style="54" customWidth="1"/>
    <col min="4" max="4" width="30.85546875" style="54" customWidth="1"/>
    <col min="5" max="5" width="57.5703125" style="54" customWidth="1"/>
    <col min="6" max="6" width="17" style="54" bestFit="1" customWidth="1"/>
    <col min="7" max="7" width="4.140625" style="54" customWidth="1"/>
    <col min="8" max="16384" width="11.42578125" style="54"/>
  </cols>
  <sheetData>
    <row r="1" spans="1:7" x14ac:dyDescent="0.2">
      <c r="A1" s="66"/>
      <c r="B1" s="67"/>
      <c r="C1" s="67"/>
      <c r="D1" s="67"/>
      <c r="E1" s="67"/>
      <c r="F1" s="68" t="s">
        <v>11</v>
      </c>
      <c r="G1" s="69"/>
    </row>
    <row r="2" spans="1:7" x14ac:dyDescent="0.2">
      <c r="A2" s="70"/>
      <c r="E2" s="71"/>
      <c r="G2" s="72"/>
    </row>
    <row r="3" spans="1:7" ht="15.75" x14ac:dyDescent="0.2">
      <c r="A3" s="70"/>
      <c r="B3" s="160" t="s">
        <v>22</v>
      </c>
      <c r="C3" s="160"/>
      <c r="D3" s="160"/>
      <c r="E3" s="160"/>
      <c r="F3" s="160"/>
      <c r="G3" s="72"/>
    </row>
    <row r="4" spans="1:7" ht="15" x14ac:dyDescent="0.2">
      <c r="A4" s="70"/>
      <c r="B4" s="71"/>
      <c r="D4" s="73"/>
      <c r="E4" s="73"/>
      <c r="G4" s="72"/>
    </row>
    <row r="5" spans="1:7" ht="15" x14ac:dyDescent="0.2">
      <c r="A5" s="70"/>
      <c r="B5" s="161" t="s">
        <v>12</v>
      </c>
      <c r="C5" s="161"/>
      <c r="D5" s="161"/>
      <c r="E5" s="161"/>
      <c r="F5" s="161"/>
      <c r="G5" s="74"/>
    </row>
    <row r="6" spans="1:7" ht="12.6" customHeight="1" x14ac:dyDescent="0.2">
      <c r="A6" s="70"/>
      <c r="F6" s="75"/>
      <c r="G6" s="76"/>
    </row>
    <row r="7" spans="1:7" x14ac:dyDescent="0.2">
      <c r="A7" s="162" t="s">
        <v>30</v>
      </c>
      <c r="B7" s="163"/>
      <c r="C7" s="163"/>
      <c r="D7" s="163"/>
      <c r="E7" s="163"/>
      <c r="F7" s="163"/>
      <c r="G7" s="164"/>
    </row>
    <row r="8" spans="1:7" ht="15.75" customHeight="1" thickBot="1" x14ac:dyDescent="0.25">
      <c r="A8" s="70"/>
      <c r="G8" s="76"/>
    </row>
    <row r="9" spans="1:7" ht="15" x14ac:dyDescent="0.2">
      <c r="A9" s="77" t="s">
        <v>13</v>
      </c>
      <c r="B9" s="165" t="s">
        <v>28</v>
      </c>
      <c r="C9" s="165"/>
      <c r="D9" s="165"/>
      <c r="E9" s="165"/>
      <c r="F9" s="165"/>
      <c r="G9" s="78"/>
    </row>
    <row r="10" spans="1:7" x14ac:dyDescent="0.2">
      <c r="A10" s="70"/>
      <c r="G10" s="72"/>
    </row>
    <row r="11" spans="1:7" ht="20.25" customHeight="1" x14ac:dyDescent="0.2">
      <c r="A11" s="70"/>
      <c r="B11" s="75" t="s">
        <v>31</v>
      </c>
      <c r="E11" s="170" t="s">
        <v>36</v>
      </c>
      <c r="F11" s="170"/>
      <c r="G11" s="72"/>
    </row>
    <row r="12" spans="1:7" ht="20.25" customHeight="1" x14ac:dyDescent="0.2">
      <c r="A12" s="70"/>
      <c r="B12" s="75" t="s">
        <v>25</v>
      </c>
      <c r="E12" s="170" t="s">
        <v>32</v>
      </c>
      <c r="F12" s="170"/>
      <c r="G12" s="72"/>
    </row>
    <row r="13" spans="1:7" ht="1.5" customHeight="1" x14ac:dyDescent="0.2">
      <c r="A13" s="70"/>
      <c r="B13" s="75"/>
      <c r="E13" s="88"/>
      <c r="G13" s="72"/>
    </row>
    <row r="14" spans="1:7" ht="20.25" customHeight="1" x14ac:dyDescent="0.2">
      <c r="A14" s="70"/>
      <c r="B14" s="166" t="s">
        <v>41</v>
      </c>
      <c r="C14" s="166"/>
      <c r="D14" s="166"/>
      <c r="E14" s="166"/>
      <c r="F14" s="166"/>
      <c r="G14" s="72"/>
    </row>
    <row r="15" spans="1:7" s="81" customFormat="1" ht="25.5" x14ac:dyDescent="0.2">
      <c r="A15" s="79"/>
      <c r="B15" s="101" t="s">
        <v>14</v>
      </c>
      <c r="C15" s="102" t="s">
        <v>15</v>
      </c>
      <c r="D15" s="101" t="s">
        <v>16</v>
      </c>
      <c r="E15" s="101" t="s">
        <v>17</v>
      </c>
      <c r="F15" s="101" t="s">
        <v>18</v>
      </c>
      <c r="G15" s="80"/>
    </row>
    <row r="16" spans="1:7" s="84" customFormat="1" ht="77.45" customHeight="1" x14ac:dyDescent="0.2">
      <c r="A16" s="82"/>
      <c r="B16" s="13"/>
      <c r="C16" s="14"/>
      <c r="D16" s="15"/>
      <c r="E16" s="58"/>
      <c r="F16" s="59"/>
      <c r="G16" s="83"/>
    </row>
    <row r="17" spans="1:10" s="84" customFormat="1" ht="6" customHeight="1" x14ac:dyDescent="0.2">
      <c r="A17" s="82"/>
      <c r="B17" s="167"/>
      <c r="C17" s="168"/>
      <c r="D17" s="168"/>
      <c r="E17" s="168"/>
      <c r="F17" s="169"/>
      <c r="G17" s="83"/>
    </row>
    <row r="18" spans="1:10" ht="20.25" customHeight="1" x14ac:dyDescent="0.2">
      <c r="A18" s="70"/>
      <c r="B18" s="157"/>
      <c r="C18" s="158"/>
      <c r="D18" s="159"/>
      <c r="E18" s="101" t="s">
        <v>19</v>
      </c>
      <c r="F18" s="103">
        <f>SUM(F16:F16)</f>
        <v>0</v>
      </c>
      <c r="G18" s="72"/>
    </row>
    <row r="19" spans="1:10" x14ac:dyDescent="0.2">
      <c r="A19" s="70"/>
      <c r="G19" s="72"/>
    </row>
    <row r="20" spans="1:10" x14ac:dyDescent="0.2">
      <c r="A20" s="70"/>
      <c r="G20" s="72"/>
    </row>
    <row r="21" spans="1:10" x14ac:dyDescent="0.2">
      <c r="A21" s="70"/>
      <c r="G21" s="72"/>
    </row>
    <row r="22" spans="1:10" x14ac:dyDescent="0.2">
      <c r="A22" s="70"/>
      <c r="G22" s="72"/>
    </row>
    <row r="23" spans="1:10" x14ac:dyDescent="0.2">
      <c r="A23" s="70"/>
      <c r="G23" s="72"/>
    </row>
    <row r="24" spans="1:10" s="26" customFormat="1" ht="15" x14ac:dyDescent="0.2">
      <c r="A24" s="85"/>
      <c r="B24" s="34"/>
      <c r="C24" s="34"/>
      <c r="D24" s="34"/>
      <c r="E24" s="34"/>
      <c r="F24" s="34"/>
      <c r="G24" s="50"/>
      <c r="J24" s="55"/>
    </row>
    <row r="25" spans="1:10" s="26" customFormat="1" ht="15" x14ac:dyDescent="0.2">
      <c r="A25" s="85"/>
      <c r="B25" s="34"/>
      <c r="C25" s="54"/>
      <c r="D25" s="29"/>
      <c r="E25" s="34"/>
      <c r="F25" s="54"/>
      <c r="G25" s="50"/>
      <c r="J25" s="55"/>
    </row>
    <row r="26" spans="1:10" s="26" customFormat="1" ht="15" x14ac:dyDescent="0.2">
      <c r="A26" s="85"/>
      <c r="B26" s="34"/>
      <c r="C26" s="54"/>
      <c r="D26" s="89"/>
      <c r="E26" s="89"/>
      <c r="F26" s="90"/>
      <c r="G26" s="50"/>
      <c r="J26" s="55"/>
    </row>
    <row r="27" spans="1:10" s="26" customFormat="1" ht="15" x14ac:dyDescent="0.2">
      <c r="A27" s="85"/>
      <c r="B27" s="34"/>
      <c r="C27" s="54"/>
      <c r="D27" s="89"/>
      <c r="E27" s="89"/>
      <c r="F27" s="90"/>
      <c r="G27" s="50"/>
      <c r="J27" s="55"/>
    </row>
    <row r="28" spans="1:10" s="26" customFormat="1" ht="15" x14ac:dyDescent="0.2">
      <c r="A28" s="85"/>
      <c r="B28" s="34"/>
      <c r="C28" s="54"/>
      <c r="D28" s="138"/>
      <c r="E28" s="138"/>
      <c r="F28" s="140"/>
      <c r="G28" s="50"/>
      <c r="J28" s="55"/>
    </row>
    <row r="29" spans="1:10" s="26" customFormat="1" ht="15" x14ac:dyDescent="0.2">
      <c r="A29" s="85"/>
      <c r="B29" s="34"/>
      <c r="C29" s="54"/>
      <c r="D29" s="138"/>
      <c r="E29" s="138"/>
      <c r="F29" s="140"/>
      <c r="G29" s="50"/>
      <c r="J29" s="55"/>
    </row>
    <row r="30" spans="1:10" s="26" customFormat="1" ht="15" x14ac:dyDescent="0.2">
      <c r="A30" s="85"/>
      <c r="B30" s="34"/>
      <c r="C30" s="54"/>
      <c r="D30" s="138"/>
      <c r="E30" s="138"/>
      <c r="F30" s="140"/>
      <c r="G30" s="50"/>
      <c r="J30" s="55"/>
    </row>
    <row r="31" spans="1:10" s="26" customFormat="1" ht="15" x14ac:dyDescent="0.2">
      <c r="A31" s="85"/>
      <c r="B31" s="34"/>
      <c r="C31" s="54"/>
      <c r="D31" s="138"/>
      <c r="E31" s="138"/>
      <c r="F31" s="140"/>
      <c r="G31" s="50"/>
      <c r="J31" s="55"/>
    </row>
    <row r="32" spans="1:10" s="26" customFormat="1" ht="15" x14ac:dyDescent="0.2">
      <c r="A32" s="85"/>
      <c r="B32" s="34"/>
      <c r="C32" s="54"/>
      <c r="D32" s="138"/>
      <c r="E32" s="138"/>
      <c r="F32" s="140"/>
      <c r="G32" s="50"/>
      <c r="J32" s="55"/>
    </row>
    <row r="33" spans="1:10" s="26" customFormat="1" ht="15" x14ac:dyDescent="0.2">
      <c r="A33" s="85"/>
      <c r="B33" s="34"/>
      <c r="C33" s="54"/>
      <c r="D33" s="138"/>
      <c r="E33" s="138"/>
      <c r="F33" s="140"/>
      <c r="G33" s="50"/>
      <c r="J33" s="55"/>
    </row>
    <row r="34" spans="1:10" s="26" customFormat="1" ht="15" x14ac:dyDescent="0.2">
      <c r="A34" s="85"/>
      <c r="B34" s="34"/>
      <c r="C34" s="54"/>
      <c r="D34" s="138"/>
      <c r="E34" s="138"/>
      <c r="F34" s="140"/>
      <c r="G34" s="50"/>
      <c r="J34" s="55"/>
    </row>
    <row r="35" spans="1:10" s="26" customFormat="1" ht="15" x14ac:dyDescent="0.2">
      <c r="A35" s="85"/>
      <c r="B35" s="34"/>
      <c r="C35" s="54"/>
      <c r="D35" s="138"/>
      <c r="E35" s="138"/>
      <c r="F35" s="140"/>
      <c r="G35" s="50"/>
      <c r="J35" s="55"/>
    </row>
    <row r="36" spans="1:10" s="26" customFormat="1" ht="15" x14ac:dyDescent="0.2">
      <c r="A36" s="85"/>
      <c r="B36" s="153"/>
      <c r="C36" s="153"/>
      <c r="D36" s="153"/>
      <c r="E36" s="153"/>
      <c r="F36" s="153"/>
      <c r="G36" s="154"/>
      <c r="J36" s="55"/>
    </row>
    <row r="37" spans="1:10" s="26" customFormat="1" ht="15" x14ac:dyDescent="0.2">
      <c r="A37" s="85"/>
      <c r="B37" s="89"/>
      <c r="C37" s="89"/>
      <c r="D37" s="89"/>
      <c r="E37" s="89"/>
      <c r="F37" s="89"/>
      <c r="G37" s="87"/>
      <c r="J37" s="55"/>
    </row>
    <row r="38" spans="1:10" s="26" customFormat="1" ht="28.5" customHeight="1" x14ac:dyDescent="0.2">
      <c r="A38" s="85"/>
      <c r="B38" s="34"/>
      <c r="C38" s="90"/>
      <c r="D38" s="89"/>
      <c r="E38" s="89"/>
      <c r="F38" s="90"/>
      <c r="G38" s="50"/>
      <c r="J38" s="55"/>
    </row>
    <row r="39" spans="1:10" s="55" customFormat="1" ht="15" x14ac:dyDescent="0.2">
      <c r="A39" s="86"/>
      <c r="B39" s="34"/>
      <c r="C39" s="90"/>
      <c r="D39" s="89"/>
      <c r="E39" s="89"/>
      <c r="F39" s="90"/>
      <c r="G39" s="50"/>
      <c r="H39" s="26"/>
      <c r="I39" s="26"/>
    </row>
    <row r="40" spans="1:10" s="55" customFormat="1" ht="15" x14ac:dyDescent="0.2">
      <c r="A40" s="86"/>
      <c r="B40" s="34"/>
      <c r="C40" s="90"/>
      <c r="D40" s="89"/>
      <c r="E40" s="89"/>
      <c r="F40" s="90"/>
      <c r="G40" s="50"/>
      <c r="H40" s="26"/>
      <c r="I40" s="26"/>
    </row>
    <row r="41" spans="1:10" s="55" customFormat="1" ht="14.25" x14ac:dyDescent="0.2">
      <c r="A41" s="86"/>
      <c r="B41" s="29"/>
      <c r="C41" s="29"/>
      <c r="D41" s="29"/>
      <c r="E41" s="29"/>
      <c r="F41" s="29"/>
      <c r="G41" s="31"/>
      <c r="H41" s="26"/>
      <c r="I41" s="26"/>
    </row>
    <row r="42" spans="1:10" x14ac:dyDescent="0.2">
      <c r="A42" s="70"/>
      <c r="C42" s="91"/>
      <c r="D42" s="91"/>
      <c r="E42" s="91"/>
      <c r="G42" s="72"/>
    </row>
    <row r="43" spans="1:10" x14ac:dyDescent="0.2">
      <c r="A43" s="70"/>
      <c r="C43" s="91"/>
      <c r="D43" s="91"/>
      <c r="E43" s="91"/>
      <c r="G43" s="72"/>
    </row>
    <row r="44" spans="1:10" x14ac:dyDescent="0.2">
      <c r="A44" s="70"/>
      <c r="C44" s="91"/>
      <c r="D44" s="91"/>
      <c r="E44" s="91"/>
      <c r="G44" s="72"/>
    </row>
    <row r="45" spans="1:10" x14ac:dyDescent="0.2">
      <c r="A45" s="70"/>
      <c r="E45" s="92"/>
      <c r="G45" s="72"/>
    </row>
    <row r="46" spans="1:10" ht="15" x14ac:dyDescent="0.2">
      <c r="A46" s="70"/>
      <c r="E46" s="93"/>
      <c r="G46" s="72"/>
    </row>
    <row r="47" spans="1:10" x14ac:dyDescent="0.2">
      <c r="A47" s="70"/>
      <c r="G47" s="72"/>
    </row>
    <row r="48" spans="1:10" ht="13.5" thickBot="1" x14ac:dyDescent="0.25">
      <c r="A48" s="94"/>
      <c r="B48" s="95"/>
      <c r="C48" s="95"/>
      <c r="D48" s="95"/>
      <c r="E48" s="95"/>
      <c r="F48" s="95"/>
      <c r="G48" s="96"/>
    </row>
  </sheetData>
  <mergeCells count="10">
    <mergeCell ref="B18:D18"/>
    <mergeCell ref="B36:G36"/>
    <mergeCell ref="B3:F3"/>
    <mergeCell ref="B5:F5"/>
    <mergeCell ref="A7:G7"/>
    <mergeCell ref="B9:F9"/>
    <mergeCell ref="B14:F14"/>
    <mergeCell ref="B17:F17"/>
    <mergeCell ref="E11:F11"/>
    <mergeCell ref="E12:F12"/>
  </mergeCells>
  <printOptions horizontalCentered="1"/>
  <pageMargins left="0.51181102362204722" right="0.51181102362204722" top="0.35433070866141736" bottom="0.55118110236220474" header="0.31496062992125984" footer="0.31496062992125984"/>
  <pageSetup scale="73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I67"/>
  <sheetViews>
    <sheetView tabSelected="1" view="pageBreakPreview" topLeftCell="A31" zoomScaleSheetLayoutView="100" workbookViewId="0">
      <selection activeCell="H35" sqref="H35"/>
    </sheetView>
  </sheetViews>
  <sheetFormatPr baseColWidth="10" defaultRowHeight="12.75" x14ac:dyDescent="0.2"/>
  <cols>
    <col min="1" max="1" width="2.5703125" customWidth="1"/>
    <col min="2" max="2" width="21.140625" customWidth="1"/>
    <col min="3" max="3" width="23.5703125" customWidth="1"/>
    <col min="4" max="4" width="75.28515625" customWidth="1"/>
    <col min="5" max="5" width="18" customWidth="1"/>
    <col min="6" max="6" width="4.140625" customWidth="1"/>
  </cols>
  <sheetData>
    <row r="1" spans="1:6" x14ac:dyDescent="0.2">
      <c r="A1" s="2"/>
      <c r="B1" s="3"/>
      <c r="C1" s="3"/>
      <c r="D1" s="3"/>
      <c r="E1" s="4" t="s">
        <v>11</v>
      </c>
      <c r="F1" s="5"/>
    </row>
    <row r="2" spans="1:6" x14ac:dyDescent="0.2">
      <c r="A2" s="6"/>
      <c r="B2" s="120"/>
      <c r="C2" s="120"/>
      <c r="D2" s="121"/>
      <c r="E2" s="120"/>
      <c r="F2" s="7"/>
    </row>
    <row r="3" spans="1:6" ht="15.75" x14ac:dyDescent="0.25">
      <c r="A3" s="6"/>
      <c r="B3" s="173" t="s">
        <v>22</v>
      </c>
      <c r="C3" s="173"/>
      <c r="D3" s="173"/>
      <c r="E3" s="173"/>
      <c r="F3" s="7"/>
    </row>
    <row r="4" spans="1:6" ht="15" x14ac:dyDescent="0.25">
      <c r="A4" s="6"/>
      <c r="B4" s="121"/>
      <c r="C4" s="120"/>
      <c r="D4" s="122"/>
      <c r="E4" s="120"/>
      <c r="F4" s="7"/>
    </row>
    <row r="5" spans="1:6" ht="15" x14ac:dyDescent="0.25">
      <c r="A5" s="6"/>
      <c r="B5" s="174" t="s">
        <v>20</v>
      </c>
      <c r="C5" s="174"/>
      <c r="D5" s="174"/>
      <c r="E5" s="174"/>
      <c r="F5" s="8"/>
    </row>
    <row r="6" spans="1:6" x14ac:dyDescent="0.2">
      <c r="A6" s="6"/>
      <c r="B6" s="120"/>
      <c r="C6" s="120"/>
      <c r="D6" s="120"/>
      <c r="E6" s="123"/>
      <c r="F6" s="9"/>
    </row>
    <row r="7" spans="1:6" x14ac:dyDescent="0.2">
      <c r="A7" s="175" t="s">
        <v>34</v>
      </c>
      <c r="B7" s="176"/>
      <c r="C7" s="176"/>
      <c r="D7" s="176"/>
      <c r="E7" s="176"/>
      <c r="F7" s="177"/>
    </row>
    <row r="8" spans="1:6" x14ac:dyDescent="0.2">
      <c r="A8" s="6"/>
      <c r="B8" s="120"/>
      <c r="C8" s="120"/>
      <c r="D8" s="120"/>
      <c r="E8" s="120"/>
      <c r="F8" s="9"/>
    </row>
    <row r="9" spans="1:6" x14ac:dyDescent="0.2">
      <c r="A9" s="6"/>
      <c r="B9" s="120"/>
      <c r="C9" s="120"/>
      <c r="D9" s="120"/>
      <c r="E9" s="120"/>
      <c r="F9" s="9"/>
    </row>
    <row r="10" spans="1:6" ht="15" x14ac:dyDescent="0.25">
      <c r="A10" s="178" t="s">
        <v>28</v>
      </c>
      <c r="B10" s="179"/>
      <c r="C10" s="179"/>
      <c r="D10" s="179"/>
      <c r="E10" s="179"/>
      <c r="F10" s="180"/>
    </row>
    <row r="11" spans="1:6" ht="22.5" customHeight="1" x14ac:dyDescent="0.2">
      <c r="A11" s="6"/>
      <c r="B11" s="120"/>
      <c r="C11" s="120"/>
      <c r="D11" s="120"/>
      <c r="E11" s="120"/>
      <c r="F11" s="7"/>
    </row>
    <row r="12" spans="1:6" x14ac:dyDescent="0.2">
      <c r="A12" s="6"/>
      <c r="B12" s="123" t="s">
        <v>29</v>
      </c>
      <c r="C12" s="120"/>
      <c r="D12" s="172" t="s">
        <v>37</v>
      </c>
      <c r="E12" s="172"/>
      <c r="F12" s="7"/>
    </row>
    <row r="13" spans="1:6" x14ac:dyDescent="0.2">
      <c r="A13" s="6"/>
      <c r="B13" s="124" t="s">
        <v>25</v>
      </c>
      <c r="C13" s="120"/>
      <c r="D13" s="172" t="s">
        <v>33</v>
      </c>
      <c r="E13" s="172"/>
      <c r="F13" s="7"/>
    </row>
    <row r="14" spans="1:6" x14ac:dyDescent="0.2">
      <c r="A14" s="6"/>
      <c r="B14" s="123"/>
      <c r="C14" s="120"/>
      <c r="D14" s="125"/>
      <c r="E14" s="120"/>
      <c r="F14" s="7"/>
    </row>
    <row r="15" spans="1:6" x14ac:dyDescent="0.2">
      <c r="A15" s="6"/>
      <c r="B15" s="181" t="str">
        <f>+CHEQUES!B14:F14</f>
        <v>AL MES DE : MARZO DE 2026</v>
      </c>
      <c r="C15" s="181"/>
      <c r="D15" s="181"/>
      <c r="E15" s="181"/>
      <c r="F15" s="9"/>
    </row>
    <row r="16" spans="1:6" x14ac:dyDescent="0.2">
      <c r="A16" s="6"/>
      <c r="B16" s="126"/>
      <c r="C16" s="126"/>
      <c r="D16" s="126"/>
      <c r="E16" s="126"/>
      <c r="F16" s="7"/>
    </row>
    <row r="17" spans="1:6" s="12" customFormat="1" ht="28.5" customHeight="1" x14ac:dyDescent="0.25">
      <c r="A17" s="10"/>
      <c r="B17" s="101" t="s">
        <v>14</v>
      </c>
      <c r="C17" s="102" t="s">
        <v>21</v>
      </c>
      <c r="D17" s="101" t="s">
        <v>17</v>
      </c>
      <c r="E17" s="101" t="s">
        <v>18</v>
      </c>
      <c r="F17" s="11"/>
    </row>
    <row r="18" spans="1:6" ht="27" customHeight="1" x14ac:dyDescent="0.2">
      <c r="A18" s="6"/>
      <c r="B18" s="17" t="s">
        <v>42</v>
      </c>
      <c r="C18" s="18">
        <v>326</v>
      </c>
      <c r="D18" s="15" t="s">
        <v>43</v>
      </c>
      <c r="E18" s="19">
        <v>10380.24</v>
      </c>
      <c r="F18" s="7"/>
    </row>
    <row r="19" spans="1:6" ht="27" customHeight="1" x14ac:dyDescent="0.2">
      <c r="A19" s="6"/>
      <c r="B19" s="17" t="s">
        <v>42</v>
      </c>
      <c r="C19" s="18">
        <v>326</v>
      </c>
      <c r="D19" s="15" t="s">
        <v>44</v>
      </c>
      <c r="E19" s="19">
        <v>7339.25</v>
      </c>
      <c r="F19" s="7"/>
    </row>
    <row r="20" spans="1:6" ht="27" customHeight="1" x14ac:dyDescent="0.2">
      <c r="A20" s="6"/>
      <c r="B20" s="17" t="s">
        <v>42</v>
      </c>
      <c r="C20" s="18">
        <v>326</v>
      </c>
      <c r="D20" s="15" t="s">
        <v>45</v>
      </c>
      <c r="E20" s="19">
        <v>21656.560000000001</v>
      </c>
      <c r="F20" s="7"/>
    </row>
    <row r="21" spans="1:6" ht="27" customHeight="1" x14ac:dyDescent="0.2">
      <c r="A21" s="6"/>
      <c r="B21" s="17" t="s">
        <v>42</v>
      </c>
      <c r="C21" s="18">
        <v>326</v>
      </c>
      <c r="D21" s="15" t="s">
        <v>46</v>
      </c>
      <c r="E21" s="19">
        <v>4730.4399999999996</v>
      </c>
      <c r="F21" s="7"/>
    </row>
    <row r="22" spans="1:6" ht="27" customHeight="1" x14ac:dyDescent="0.2">
      <c r="A22" s="6"/>
      <c r="B22" s="17" t="s">
        <v>42</v>
      </c>
      <c r="C22" s="18">
        <v>326</v>
      </c>
      <c r="D22" s="15" t="s">
        <v>47</v>
      </c>
      <c r="E22" s="19">
        <v>8070.35</v>
      </c>
      <c r="F22" s="7"/>
    </row>
    <row r="23" spans="1:6" ht="27" customHeight="1" x14ac:dyDescent="0.2">
      <c r="A23" s="6"/>
      <c r="B23" s="17" t="s">
        <v>42</v>
      </c>
      <c r="C23" s="18">
        <v>326</v>
      </c>
      <c r="D23" s="15" t="s">
        <v>48</v>
      </c>
      <c r="E23" s="19">
        <v>6100.12</v>
      </c>
      <c r="F23" s="7"/>
    </row>
    <row r="24" spans="1:6" ht="27" customHeight="1" x14ac:dyDescent="0.2">
      <c r="A24" s="6"/>
      <c r="B24" s="17" t="s">
        <v>42</v>
      </c>
      <c r="C24" s="18">
        <v>326</v>
      </c>
      <c r="D24" s="15" t="s">
        <v>49</v>
      </c>
      <c r="E24" s="19">
        <v>7417.14</v>
      </c>
      <c r="F24" s="7"/>
    </row>
    <row r="25" spans="1:6" ht="27" customHeight="1" x14ac:dyDescent="0.2">
      <c r="A25" s="6"/>
      <c r="B25" s="17" t="s">
        <v>42</v>
      </c>
      <c r="C25" s="18">
        <v>326</v>
      </c>
      <c r="D25" s="15" t="s">
        <v>50</v>
      </c>
      <c r="E25" s="19">
        <v>2763.14</v>
      </c>
      <c r="F25" s="7"/>
    </row>
    <row r="26" spans="1:6" ht="27" customHeight="1" x14ac:dyDescent="0.2">
      <c r="A26" s="6"/>
      <c r="B26" s="17" t="s">
        <v>42</v>
      </c>
      <c r="C26" s="18">
        <v>326</v>
      </c>
      <c r="D26" s="15" t="s">
        <v>51</v>
      </c>
      <c r="E26" s="19">
        <v>3149.6</v>
      </c>
      <c r="F26" s="7"/>
    </row>
    <row r="27" spans="1:6" ht="27" customHeight="1" x14ac:dyDescent="0.2">
      <c r="A27" s="6"/>
      <c r="B27" s="17" t="s">
        <v>42</v>
      </c>
      <c r="C27" s="18">
        <v>326</v>
      </c>
      <c r="D27" s="15" t="s">
        <v>52</v>
      </c>
      <c r="E27" s="19">
        <v>7159.05</v>
      </c>
      <c r="F27" s="7"/>
    </row>
    <row r="28" spans="1:6" ht="27" customHeight="1" x14ac:dyDescent="0.2">
      <c r="A28" s="6"/>
      <c r="B28" s="17" t="s">
        <v>42</v>
      </c>
      <c r="C28" s="18">
        <v>326</v>
      </c>
      <c r="D28" s="15" t="s">
        <v>53</v>
      </c>
      <c r="E28" s="19">
        <v>12323.76</v>
      </c>
      <c r="F28" s="7"/>
    </row>
    <row r="29" spans="1:6" ht="27" customHeight="1" x14ac:dyDescent="0.2">
      <c r="A29" s="6"/>
      <c r="B29" s="17" t="s">
        <v>42</v>
      </c>
      <c r="C29" s="18">
        <v>326</v>
      </c>
      <c r="D29" s="15" t="s">
        <v>54</v>
      </c>
      <c r="E29" s="19">
        <v>6022.32</v>
      </c>
      <c r="F29" s="7"/>
    </row>
    <row r="30" spans="1:6" ht="27" customHeight="1" x14ac:dyDescent="0.2">
      <c r="A30" s="6"/>
      <c r="B30" s="17" t="s">
        <v>42</v>
      </c>
      <c r="C30" s="18">
        <v>326</v>
      </c>
      <c r="D30" s="15" t="s">
        <v>55</v>
      </c>
      <c r="E30" s="19">
        <v>15703</v>
      </c>
      <c r="F30" s="7"/>
    </row>
    <row r="31" spans="1:6" ht="27" customHeight="1" x14ac:dyDescent="0.2">
      <c r="A31" s="6"/>
      <c r="B31" s="17" t="s">
        <v>42</v>
      </c>
      <c r="C31" s="18">
        <v>326</v>
      </c>
      <c r="D31" s="15" t="s">
        <v>56</v>
      </c>
      <c r="E31" s="19">
        <v>7945.31</v>
      </c>
      <c r="F31" s="7"/>
    </row>
    <row r="32" spans="1:6" ht="27" customHeight="1" x14ac:dyDescent="0.2">
      <c r="A32" s="6"/>
      <c r="B32" s="17" t="s">
        <v>42</v>
      </c>
      <c r="C32" s="18">
        <v>326</v>
      </c>
      <c r="D32" s="15" t="s">
        <v>57</v>
      </c>
      <c r="E32" s="19">
        <v>3101.45</v>
      </c>
      <c r="F32" s="7"/>
    </row>
    <row r="33" spans="1:9" ht="27" customHeight="1" x14ac:dyDescent="0.2">
      <c r="A33" s="6"/>
      <c r="B33" s="17" t="s">
        <v>42</v>
      </c>
      <c r="C33" s="18">
        <v>326</v>
      </c>
      <c r="D33" s="15" t="s">
        <v>58</v>
      </c>
      <c r="E33" s="19">
        <v>3814.17</v>
      </c>
      <c r="F33" s="7"/>
    </row>
    <row r="34" spans="1:9" ht="27" customHeight="1" x14ac:dyDescent="0.2">
      <c r="A34" s="6"/>
      <c r="B34" s="17" t="s">
        <v>42</v>
      </c>
      <c r="C34" s="18">
        <v>326</v>
      </c>
      <c r="D34" s="15" t="s">
        <v>59</v>
      </c>
      <c r="E34" s="19">
        <v>1849.44</v>
      </c>
      <c r="F34" s="7"/>
    </row>
    <row r="35" spans="1:9" ht="27" customHeight="1" x14ac:dyDescent="0.2">
      <c r="A35" s="6"/>
      <c r="B35" s="17" t="s">
        <v>42</v>
      </c>
      <c r="C35" s="18">
        <v>326</v>
      </c>
      <c r="D35" s="15" t="s">
        <v>60</v>
      </c>
      <c r="E35" s="19">
        <v>2731.88</v>
      </c>
      <c r="F35" s="7"/>
    </row>
    <row r="36" spans="1:9" ht="27" customHeight="1" x14ac:dyDescent="0.2">
      <c r="A36" s="6"/>
      <c r="B36" s="17">
        <v>46112</v>
      </c>
      <c r="C36" s="18">
        <v>326</v>
      </c>
      <c r="D36" s="15" t="s">
        <v>63</v>
      </c>
      <c r="E36" s="19">
        <v>5450.12</v>
      </c>
      <c r="F36" s="7"/>
    </row>
    <row r="37" spans="1:9" ht="27" customHeight="1" x14ac:dyDescent="0.2">
      <c r="A37" s="6"/>
      <c r="B37" s="17" t="s">
        <v>42</v>
      </c>
      <c r="C37" s="18">
        <v>326</v>
      </c>
      <c r="D37" s="15" t="s">
        <v>61</v>
      </c>
      <c r="E37" s="19">
        <v>17076.509999999998</v>
      </c>
      <c r="F37" s="7"/>
    </row>
    <row r="38" spans="1:9" ht="18" customHeight="1" x14ac:dyDescent="0.2">
      <c r="A38" s="6"/>
      <c r="B38" s="171"/>
      <c r="C38" s="171"/>
      <c r="D38" s="101" t="s">
        <v>19</v>
      </c>
      <c r="E38" s="103">
        <f>SUM(E18:E37)</f>
        <v>154783.85</v>
      </c>
      <c r="F38" s="7"/>
    </row>
    <row r="39" spans="1:9" x14ac:dyDescent="0.2">
      <c r="A39" s="6"/>
      <c r="B39" s="120"/>
      <c r="C39" s="120"/>
      <c r="D39" s="120"/>
      <c r="E39" s="120"/>
      <c r="F39" s="7"/>
    </row>
    <row r="40" spans="1:9" x14ac:dyDescent="0.2">
      <c r="A40" s="6"/>
      <c r="B40" s="120"/>
      <c r="C40" s="120"/>
      <c r="D40" s="120"/>
      <c r="E40" s="120"/>
      <c r="F40" s="7"/>
    </row>
    <row r="41" spans="1:9" x14ac:dyDescent="0.2">
      <c r="A41" s="6"/>
      <c r="B41" s="120"/>
      <c r="C41" s="120"/>
      <c r="D41" s="120"/>
      <c r="E41" s="120"/>
      <c r="F41" s="7"/>
    </row>
    <row r="42" spans="1:9" x14ac:dyDescent="0.2">
      <c r="A42" s="6"/>
      <c r="B42" s="120"/>
      <c r="C42" s="120"/>
      <c r="D42" s="120"/>
      <c r="E42" s="120"/>
      <c r="F42" s="7"/>
    </row>
    <row r="43" spans="1:9" x14ac:dyDescent="0.2">
      <c r="A43" s="6"/>
      <c r="B43" s="120"/>
      <c r="C43" s="120"/>
      <c r="D43" s="120"/>
      <c r="E43" s="120"/>
      <c r="F43" s="7"/>
    </row>
    <row r="44" spans="1:9" x14ac:dyDescent="0.2">
      <c r="A44" s="6"/>
      <c r="B44" s="120"/>
      <c r="C44" s="120"/>
      <c r="D44" s="120"/>
      <c r="E44" s="120"/>
      <c r="F44" s="7"/>
    </row>
    <row r="45" spans="1:9" s="1" customFormat="1" ht="15" x14ac:dyDescent="0.2">
      <c r="A45" s="16"/>
      <c r="B45" s="127"/>
      <c r="C45" s="128"/>
      <c r="D45" s="129"/>
      <c r="E45" s="127"/>
      <c r="F45" s="72"/>
      <c r="G45" s="50"/>
      <c r="I45" s="20"/>
    </row>
    <row r="46" spans="1:9" s="1" customFormat="1" ht="15" x14ac:dyDescent="0.2">
      <c r="A46" s="16"/>
      <c r="B46" s="127"/>
      <c r="C46" s="128"/>
      <c r="D46" s="130"/>
      <c r="E46" s="130"/>
      <c r="F46" s="131"/>
      <c r="G46" s="50"/>
      <c r="I46" s="20"/>
    </row>
    <row r="47" spans="1:9" s="1" customFormat="1" ht="15" x14ac:dyDescent="0.2">
      <c r="A47" s="16"/>
      <c r="B47" s="127"/>
      <c r="C47" s="128"/>
      <c r="D47" s="130"/>
      <c r="E47" s="130"/>
      <c r="F47" s="131"/>
      <c r="G47" s="50"/>
      <c r="I47" s="20"/>
    </row>
    <row r="48" spans="1:9" s="1" customFormat="1" ht="15" x14ac:dyDescent="0.2">
      <c r="A48" s="16"/>
      <c r="B48" s="127"/>
      <c r="C48" s="127"/>
      <c r="D48" s="127"/>
      <c r="E48" s="127"/>
      <c r="F48" s="50"/>
      <c r="G48" s="50"/>
      <c r="I48" s="20"/>
    </row>
    <row r="49" spans="1:9" s="1" customFormat="1" ht="15" x14ac:dyDescent="0.2">
      <c r="A49" s="16"/>
      <c r="B49" s="127"/>
      <c r="C49" s="127"/>
      <c r="D49" s="127"/>
      <c r="E49" s="127"/>
      <c r="F49" s="50"/>
      <c r="G49" s="50"/>
      <c r="I49" s="20"/>
    </row>
    <row r="50" spans="1:9" s="1" customFormat="1" ht="15" x14ac:dyDescent="0.2">
      <c r="A50" s="16"/>
      <c r="B50" s="127"/>
      <c r="C50" s="127"/>
      <c r="D50" s="127"/>
      <c r="E50" s="127"/>
      <c r="F50" s="50"/>
      <c r="G50" s="50"/>
      <c r="I50" s="20"/>
    </row>
    <row r="51" spans="1:9" s="1" customFormat="1" ht="15" x14ac:dyDescent="0.2">
      <c r="A51" s="16"/>
      <c r="B51" s="127"/>
      <c r="C51" s="127"/>
      <c r="D51" s="127"/>
      <c r="E51" s="127"/>
      <c r="F51" s="50"/>
      <c r="G51" s="50"/>
      <c r="I51" s="20"/>
    </row>
    <row r="52" spans="1:9" s="1" customFormat="1" ht="15" x14ac:dyDescent="0.2">
      <c r="A52" s="16"/>
      <c r="B52" s="127"/>
      <c r="C52" s="127"/>
      <c r="D52" s="127"/>
      <c r="E52" s="127"/>
      <c r="F52" s="50"/>
      <c r="G52" s="50"/>
      <c r="I52" s="20"/>
    </row>
    <row r="53" spans="1:9" s="1" customFormat="1" ht="15" x14ac:dyDescent="0.2">
      <c r="A53" s="16"/>
      <c r="B53" s="127"/>
      <c r="C53" s="127"/>
      <c r="D53" s="127"/>
      <c r="E53" s="127"/>
      <c r="F53" s="50"/>
      <c r="G53" s="50"/>
      <c r="I53" s="20"/>
    </row>
    <row r="54" spans="1:9" s="1" customFormat="1" ht="15" x14ac:dyDescent="0.2">
      <c r="A54" s="16"/>
      <c r="B54" s="127"/>
      <c r="C54" s="127"/>
      <c r="D54" s="127"/>
      <c r="E54" s="127"/>
      <c r="F54" s="50"/>
      <c r="G54" s="50"/>
      <c r="I54" s="20"/>
    </row>
    <row r="55" spans="1:9" s="1" customFormat="1" ht="15" x14ac:dyDescent="0.2">
      <c r="A55" s="16"/>
      <c r="B55" s="130"/>
      <c r="C55" s="130"/>
      <c r="D55" s="130"/>
      <c r="E55" s="130"/>
      <c r="F55" s="118"/>
      <c r="G55" s="118"/>
      <c r="I55" s="20"/>
    </row>
    <row r="56" spans="1:9" s="1" customFormat="1" ht="15" x14ac:dyDescent="0.2">
      <c r="A56" s="16"/>
      <c r="B56" s="127"/>
      <c r="C56" s="132"/>
      <c r="D56" s="130"/>
      <c r="E56" s="130"/>
      <c r="F56" s="131"/>
      <c r="G56" s="50"/>
      <c r="I56" s="20"/>
    </row>
    <row r="57" spans="1:9" s="1" customFormat="1" ht="28.5" customHeight="1" x14ac:dyDescent="0.2">
      <c r="A57" s="16"/>
      <c r="B57" s="127"/>
      <c r="C57" s="132"/>
      <c r="D57" s="130"/>
      <c r="E57" s="130"/>
      <c r="F57" s="131"/>
      <c r="G57" s="50"/>
      <c r="I57" s="20"/>
    </row>
    <row r="58" spans="1:9" s="20" customFormat="1" ht="15" x14ac:dyDescent="0.2">
      <c r="A58" s="21"/>
      <c r="B58" s="127"/>
      <c r="C58" s="132"/>
      <c r="D58" s="130"/>
      <c r="E58" s="130"/>
      <c r="F58" s="131"/>
      <c r="G58" s="50"/>
      <c r="H58" s="1"/>
    </row>
    <row r="59" spans="1:9" s="20" customFormat="1" ht="14.25" x14ac:dyDescent="0.2">
      <c r="A59" s="21"/>
      <c r="B59" s="129"/>
      <c r="C59" s="129"/>
      <c r="D59" s="129"/>
      <c r="E59" s="129"/>
      <c r="F59" s="31"/>
      <c r="G59" s="31"/>
      <c r="H59" s="1"/>
    </row>
    <row r="60" spans="1:9" s="20" customFormat="1" x14ac:dyDescent="0.2">
      <c r="A60" s="21"/>
      <c r="B60" s="128"/>
      <c r="C60" s="133"/>
      <c r="D60" s="133"/>
      <c r="E60" s="133"/>
      <c r="F60" s="72"/>
      <c r="G60" s="72"/>
      <c r="H60" s="1"/>
    </row>
    <row r="61" spans="1:9" s="20" customFormat="1" x14ac:dyDescent="0.2">
      <c r="A61" s="21"/>
      <c r="B61" s="128"/>
      <c r="C61" s="133"/>
      <c r="D61" s="133"/>
      <c r="E61" s="133"/>
      <c r="F61" s="72"/>
      <c r="G61" s="72"/>
      <c r="H61" s="1"/>
    </row>
    <row r="62" spans="1:9" x14ac:dyDescent="0.2">
      <c r="A62" s="6"/>
      <c r="B62" s="128"/>
      <c r="C62" s="133"/>
      <c r="D62" s="133"/>
      <c r="E62" s="133"/>
      <c r="F62" s="72"/>
      <c r="G62" s="72"/>
    </row>
    <row r="63" spans="1:9" x14ac:dyDescent="0.2">
      <c r="A63" s="6"/>
      <c r="B63" s="128"/>
      <c r="C63" s="128"/>
      <c r="D63" s="128"/>
      <c r="E63" s="134"/>
      <c r="F63" s="72"/>
      <c r="G63" s="72"/>
    </row>
    <row r="64" spans="1:9" x14ac:dyDescent="0.2">
      <c r="A64" s="6"/>
      <c r="B64" s="120"/>
      <c r="C64" s="135"/>
      <c r="D64" s="135"/>
      <c r="E64" s="120"/>
      <c r="F64" s="7"/>
    </row>
    <row r="65" spans="1:6" x14ac:dyDescent="0.2">
      <c r="A65" s="6"/>
      <c r="B65" s="120"/>
      <c r="C65" s="135"/>
      <c r="D65" s="135"/>
      <c r="E65" s="120"/>
      <c r="F65" s="7"/>
    </row>
    <row r="66" spans="1:6" x14ac:dyDescent="0.2">
      <c r="A66" s="6"/>
      <c r="B66" s="120"/>
      <c r="C66" s="120"/>
      <c r="D66" s="136"/>
      <c r="E66" s="120"/>
      <c r="F66" s="7"/>
    </row>
    <row r="67" spans="1:6" ht="15.75" thickBot="1" x14ac:dyDescent="0.3">
      <c r="A67" s="22"/>
      <c r="B67" s="23"/>
      <c r="C67" s="23"/>
      <c r="D67" s="24"/>
      <c r="E67" s="23"/>
      <c r="F67" s="25"/>
    </row>
  </sheetData>
  <mergeCells count="8">
    <mergeCell ref="B38:C38"/>
    <mergeCell ref="D12:E12"/>
    <mergeCell ref="D13:E13"/>
    <mergeCell ref="B3:E3"/>
    <mergeCell ref="B5:E5"/>
    <mergeCell ref="A7:F7"/>
    <mergeCell ref="A10:F10"/>
    <mergeCell ref="B15:E15"/>
  </mergeCells>
  <printOptions horizontalCentered="1"/>
  <pageMargins left="0.51181102362204722" right="0.51181102362204722" top="0.35433070866141736" bottom="0.55118110236220474" header="0.31496062992125984" footer="0.31496062992125984"/>
  <pageSetup scale="60" orientation="portrait" horizontalDpi="300" verticalDpi="300" r:id="rId1"/>
  <colBreaks count="1" manualBreakCount="1">
    <brk id="6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FISCALES 2026</vt:lpstr>
      <vt:lpstr>CHEQUES</vt:lpstr>
      <vt:lpstr>DEPOSITOS CTA FISCALES</vt:lpstr>
      <vt:lpstr>CHEQUES!Área_de_impresión</vt:lpstr>
      <vt:lpstr>'DEPOSITOS CTA FISCALES'!Área_de_impresión</vt:lpstr>
      <vt:lpstr>'FISCALES 2026'!Área_de_impresión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pc</cp:lastModifiedBy>
  <cp:lastPrinted>2026-04-19T21:45:19Z</cp:lastPrinted>
  <dcterms:created xsi:type="dcterms:W3CDTF">2018-06-22T16:07:23Z</dcterms:created>
  <dcterms:modified xsi:type="dcterms:W3CDTF">2026-04-19T21:48:24Z</dcterms:modified>
</cp:coreProperties>
</file>