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"/>
    </mc:Choice>
  </mc:AlternateContent>
  <bookViews>
    <workbookView xWindow="-120" yWindow="-120" windowWidth="20730" windowHeight="11040" firstSheet="2" activeTab="7"/>
  </bookViews>
  <sheets>
    <sheet name="1.1.1.2.02.67" sheetId="2" r:id="rId1"/>
    <sheet name=" 1.1.1.2.02.68" sheetId="7" r:id="rId2"/>
    <sheet name="1.1.1.2.02.69" sheetId="1" r:id="rId3"/>
    <sheet name=" 1.1.1.2.02.70" sheetId="5" r:id="rId4"/>
    <sheet name=" 1.1.1.2.05.03" sheetId="3" r:id="rId5"/>
    <sheet name="1.1.1.2.05.04" sheetId="6" r:id="rId6"/>
    <sheet name=" 1.1.1.2.05.05" sheetId="8" r:id="rId7"/>
    <sheet name="1.1.1.2.05.06" sheetId="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Print_Area" localSheetId="4">' 1.1.1.2.05.03'!$A$1:$F$39</definedName>
    <definedName name="_xlnm.Print_Area" localSheetId="5">'1.1.1.2.05.04'!$A$1:$F$39</definedName>
    <definedName name="_xlnm.Print_Area" localSheetId="7">'1.1.1.2.05.06'!$A$1:$F$67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4" l="1"/>
  <c r="B15" i="4"/>
  <c r="E23" i="8" l="1"/>
  <c r="B15" i="8"/>
  <c r="E21" i="6" l="1"/>
  <c r="B15" i="6"/>
  <c r="E21" i="3" l="1"/>
  <c r="B15" i="3"/>
  <c r="E21" i="5" l="1"/>
  <c r="B15" i="5"/>
  <c r="E21" i="1" l="1"/>
  <c r="B15" i="1"/>
  <c r="B15" i="7" l="1"/>
  <c r="E21" i="7"/>
  <c r="E21" i="2" l="1"/>
  <c r="B15" i="2"/>
</calcChain>
</file>

<file path=xl/sharedStrings.xml><?xml version="1.0" encoding="utf-8"?>
<sst xmlns="http://schemas.openxmlformats.org/spreadsheetml/2006/main" count="164" uniqueCount="77">
  <si>
    <t>SF/UACM/IA-03</t>
  </si>
  <si>
    <t>H. AYUNTAMIENTO CONSTITUCIONAL DE ACAJETE, VER.</t>
  </si>
  <si>
    <t>DEPÓSITOS PENDIENTES DE REGISTRAR POR EL BANCO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</si>
  <si>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 2025</t>
    </r>
  </si>
  <si>
    <t>FAISMUN 2025</t>
  </si>
  <si>
    <t>N° DE CUENTA:   0124217357</t>
  </si>
  <si>
    <t xml:space="preserve">                           CTA CONTABLE:  1.1.1.2.02.69</t>
  </si>
  <si>
    <t>INSTITUCIÓN BANCARIA: BBVA BANCOMER</t>
  </si>
  <si>
    <r>
      <t xml:space="preserve">                        SUCURSAL: </t>
    </r>
    <r>
      <rPr>
        <sz val="10"/>
        <color theme="1"/>
        <rFont val="Arial"/>
        <family val="2"/>
      </rPr>
      <t>7714 GOBIERNO XALAPA</t>
    </r>
  </si>
  <si>
    <t>FECHA</t>
  </si>
  <si>
    <t>REFERENCIA</t>
  </si>
  <si>
    <t>CONCEPTO</t>
  </si>
  <si>
    <t>IMPORTE</t>
  </si>
  <si>
    <t>TOTAL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</si>
  <si>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PROPIOS 2025</t>
    </r>
  </si>
  <si>
    <t>INGRESOS 2025</t>
  </si>
  <si>
    <t>N° DE CUENTA:  0124217330</t>
  </si>
  <si>
    <t xml:space="preserve">                           CTA CONTABLE:  1.1.1.2.02.67</t>
  </si>
  <si>
    <t xml:space="preserve">                        SUCURSAL: 7714 GOBIERNO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</si>
  <si>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</t>
    </r>
  </si>
  <si>
    <t>FAISMUN 2026</t>
  </si>
  <si>
    <t>N° DE CUENTA:  18-00035025-5</t>
  </si>
  <si>
    <t xml:space="preserve">                           CTA CONTABLE:  1.1.1.2.05.03</t>
  </si>
  <si>
    <t>INSTITUCIÓN BANCARIA: SANTANDER</t>
  </si>
  <si>
    <r>
      <t xml:space="preserve">                        SUCURSAL: </t>
    </r>
    <r>
      <rPr>
        <sz val="10"/>
        <color theme="1"/>
        <rFont val="Arial"/>
        <family val="2"/>
      </rPr>
      <t>1760 SUC. AMERICAS XALAPA</t>
    </r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</si>
  <si>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FISCALES 2026</t>
    </r>
  </si>
  <si>
    <t>FISCALES 2026</t>
  </si>
  <si>
    <t>N° DE CUENTA:  18-00034992-9</t>
  </si>
  <si>
    <t xml:space="preserve">                           CTA CONTABLE: 1.1.1.2.05.06</t>
  </si>
  <si>
    <t xml:space="preserve">                        SUCURSAL: 1760 SUC. AMERICAS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</si>
  <si>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FORTAMUN 2025</t>
    </r>
  </si>
  <si>
    <t>FORTAMUN 2025</t>
  </si>
  <si>
    <t>N° DE CUENTA:  0124217276</t>
  </si>
  <si>
    <t xml:space="preserve">                           CTA CONTABLE:  1.1.1.2.02.70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</si>
  <si>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FORTAMUN 2026</t>
    </r>
  </si>
  <si>
    <t>FORTAMUN 2026</t>
  </si>
  <si>
    <t>N° DE CUENTA:  18-00035037-7</t>
  </si>
  <si>
    <t xml:space="preserve">                           CTA CONTABLE: 1.1.1.2.05.04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</si>
  <si>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2025</t>
    </r>
  </si>
  <si>
    <t>PARTICIPACIONES 2025</t>
  </si>
  <si>
    <t>N° DE CUENTA:  0124217365</t>
  </si>
  <si>
    <t xml:space="preserve">                           CTA CONTABLE:  1.1.1.2.02.68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</si>
  <si>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2026</t>
    </r>
  </si>
  <si>
    <t>PARTICIPACIONES 2026</t>
  </si>
  <si>
    <t>N° DE CUENTA:  18-00035217-9</t>
  </si>
  <si>
    <t xml:space="preserve">                           CTA CONTABLE:  1.1.1.2.05.05</t>
  </si>
  <si>
    <t>SALDO DEL ESTADO DE CUENTA BANCARIO AL 28 DE FEBRERO DE 2026</t>
  </si>
  <si>
    <t>SSE/0844/2026</t>
  </si>
  <si>
    <t>FONDO DE APORTACIONES PARA LA INFRAESTRUCTURA SOCIAL MUNICIPAL</t>
  </si>
  <si>
    <t xml:space="preserve"> </t>
  </si>
  <si>
    <t>FONDO DE APORTACIONES PARA EL FORTALECIMIENTO DE LOS MUNICIPIOS</t>
  </si>
  <si>
    <t>SSE/0845/2026</t>
  </si>
  <si>
    <t>FONDO ESPECIAL I.E.P.S</t>
  </si>
  <si>
    <t>FONDO DE FOMENTO MUNICIPAL</t>
  </si>
  <si>
    <t>I.S.A.N</t>
  </si>
  <si>
    <t>ISR PARTICIPABLE</t>
  </si>
  <si>
    <t>31/03/2026</t>
  </si>
  <si>
    <t>REGISTRO DEL DEPOSITO DE LA RECAUDACION DEL DIA 02 DE MARZO DE 2026</t>
  </si>
  <si>
    <t>REGISTRO DEL DEPOSITO DE LA RECAUDACION DEL DIA 03 DE MARZO DE 2026</t>
  </si>
  <si>
    <t>REGISTRO DEL DEPOSITO DE LA RECAUDACION DEL DIA 04 DE MARZO DE 2026</t>
  </si>
  <si>
    <t>REGISTRO DEL DEPOSITO DE LA RECAUDACION DEL DIA 05 DE MARZO DE 2026</t>
  </si>
  <si>
    <t>REGISTRO DEL DEPOSITO DE LA RECAUDACION DEL DIA 06 DE MARZO DE 2026</t>
  </si>
  <si>
    <t>REGISTRO DEL DEPOSITO DE LA RECAUDACION DEL DIA 09 DE MARZO DE 2026</t>
  </si>
  <si>
    <t>REGISTRO DEL DEPOSITO DE LA RECAUDACION DEL DIA 10 DE MARZO DE 2026</t>
  </si>
  <si>
    <t>REGISTRO DEL DEPOSITO DE LA RECAUDACION DEL DIA 11 DE MARZO DE 2026</t>
  </si>
  <si>
    <t>REGISTRO DEL DEPOSITO DE LA RECAUDACION DEL DIA 12 DE MARZO DE 2026</t>
  </si>
  <si>
    <t>REGISTRO DEL DEPOSITO DE LA RECAUDACION DEL DIA 13 DE MARZO DE 2026</t>
  </si>
  <si>
    <t>REGISTRO DEL DEPOSITO DE LA RECAUDACION DEL DIA 17 DE MARZO DE 2026</t>
  </si>
  <si>
    <t>REGISTRO DEL DEPOSITO DE LA RECAUDACION DEL DIA 18 DE MARZO DE 2026</t>
  </si>
  <si>
    <t>REGISTRO DEL DEPOSITO DE LA RECAUDACION DEL DIA 20 DE MARZO DE 2026</t>
  </si>
  <si>
    <t>REGISTRO DEL DEPOSITO DE LA RECAUDACION DEL DIA 23 DE MARZO DE 2026</t>
  </si>
  <si>
    <t>REGISTRO DEL DEPOSITO DE LA RECAUDACION DEL DIA 24 DE MARZO DE 2026</t>
  </si>
  <si>
    <t>REGISTRO DEL DEPOSITO DE LA RECAUDACION DEL DIA 25 DE MARZO DE 2026</t>
  </si>
  <si>
    <t>REGISTRO DEL DEPOSITO DE LA RECAUDACION DEL DIA 26 DE MARZO DE 2026</t>
  </si>
  <si>
    <t>REGISTRO DEL DEPOSITO DE LA RECAUDACION DEL DIA 27 DE MARZO DE 2026</t>
  </si>
  <si>
    <t>REGISTRO DEL DEPOSITO DE LA RECAUDACION DEL DIA 30 DE MARZO DE 2026</t>
  </si>
  <si>
    <t>REGISTRO DEL DEPOSITO DE LA RECAUDACION DEL DIA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</si>
</sst>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3" fillId="0" borderId="0" xfId="0" quotePrefix="1" applyFont="1"/>
    <xf numFmtId="0" fontId="0" fillId="0" borderId="5" xfId="0" applyBorder="1"/>
    <xf numFmtId="0" fontId="5" fillId="0" borderId="0" xfId="0" applyFont="1" applyAlignment="1">
      <alignment horizontal="center"/>
    </xf>
    <xf numFmtId="0" fontId="8" fillId="0" borderId="5" xfId="1" applyFont="1" applyBorder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5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9" fillId="0" borderId="6" xfId="0" quotePrefix="1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43" fontId="9" fillId="0" borderId="6" xfId="2" quotePrefix="1" applyFont="1" applyBorder="1" applyAlignment="1">
      <alignment horizontal="left" vertical="center"/>
    </xf>
    <xf numFmtId="44" fontId="3" fillId="2" borderId="6" xfId="0" quotePrefix="1" applyNumberFormat="1" applyFont="1" applyFill="1" applyBorder="1" applyAlignment="1">
      <alignment horizontal="center" vertical="center"/>
    </xf>
    <xf numFmtId="0" fontId="10" fillId="0" borderId="4" xfId="0" applyFont="1" applyBorder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44" fontId="10" fillId="0" borderId="0" xfId="3" applyFont="1" applyBorder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0" fillId="0" borderId="4" xfId="3" applyFont="1" applyBorder="1"/>
    <xf numFmtId="44" fontId="10" fillId="0" borderId="0" xfId="3" applyFont="1"/>
    <xf numFmtId="0" fontId="12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9" fillId="0" borderId="0" xfId="0" applyFont="1"/>
    <xf numFmtId="0" fontId="0" fillId="0" borderId="7" xfId="0" applyBorder="1"/>
    <xf numFmtId="0" fontId="0" fillId="0" borderId="8" xfId="0" applyBorder="1"/>
    <xf numFmtId="0" fontId="1" fillId="0" borderId="8" xfId="0" applyFont="1" applyBorder="1" applyAlignment="1">
      <alignment horizontal="right"/>
    </xf>
    <xf numFmtId="0" fontId="0" fillId="0" borderId="9" xfId="0" applyBorder="1"/>
    <xf numFmtId="4" fontId="1" fillId="0" borderId="0" xfId="0" applyNumberFormat="1" applyFont="1" applyAlignment="1">
      <alignment horizontal="center"/>
    </xf>
    <xf numFmtId="0" fontId="0" fillId="0" borderId="0" xfId="0" applyBorder="1"/>
    <xf numFmtId="0" fontId="3" fillId="0" borderId="0" xfId="0" quotePrefix="1" applyFont="1" applyBorder="1"/>
    <xf numFmtId="0" fontId="5" fillId="0" borderId="0" xfId="0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5"/>
    </xf>
    <xf numFmtId="0" fontId="3" fillId="0" borderId="0" xfId="0" applyFont="1" applyBorder="1" applyAlignment="1">
      <alignment horizont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2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9" fillId="0" borderId="0" xfId="0" applyFont="1" applyBorder="1"/>
    <xf numFmtId="0" fontId="3" fillId="0" borderId="0" xfId="0" applyFont="1" applyBorder="1" applyAlignment="1">
      <alignment horizontal="right"/>
    </xf>
    <xf numFmtId="0" fontId="10" fillId="0" borderId="0" xfId="0" applyFont="1" applyBorder="1"/>
    <xf numFmtId="0" fontId="9" fillId="0" borderId="6" xfId="0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</cellXfs>
  <cellStyles count="4">
    <cellStyle name="Millares 3 2" xfId="2"/>
    <cellStyle name="Moneda 4 2" xfId="3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962022</xdr:colOff>
      <xdr:row>17</xdr:row>
      <xdr:rowOff>200025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EBDA297-750F-4BCC-A28A-85D3A160515B}"/>
            </a:ext>
          </a:extLst>
        </xdr:cNvPr>
        <xdr:cNvSpPr/>
      </xdr:nvSpPr>
      <xdr:spPr>
        <a:xfrm rot="21333714">
          <a:off x="1137282" y="341566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E12A95-99C5-4A7A-AE0B-27A08F33B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512ED02-99E2-4967-94F7-B75A7625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oneCellAnchor>
    <xdr:from>
      <xdr:col>1</xdr:col>
      <xdr:colOff>962022</xdr:colOff>
      <xdr:row>17</xdr:row>
      <xdr:rowOff>200025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7518C14-A59A-4AD5-8AF6-3927C140810A}"/>
            </a:ext>
          </a:extLst>
        </xdr:cNvPr>
        <xdr:cNvSpPr/>
      </xdr:nvSpPr>
      <xdr:spPr>
        <a:xfrm rot="21333714">
          <a:off x="1133472" y="340042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0</xdr:col>
      <xdr:colOff>127635</xdr:colOff>
      <xdr:row>27</xdr:row>
      <xdr:rowOff>24765</xdr:rowOff>
    </xdr:from>
    <xdr:to>
      <xdr:col>5</xdr:col>
      <xdr:colOff>175262</xdr:colOff>
      <xdr:row>38</xdr:row>
      <xdr:rowOff>43090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49E4EB3F-423B-4C12-A3C3-663CCAB857E5}"/>
            </a:ext>
          </a:extLst>
        </xdr:cNvPr>
        <xdr:cNvGrpSpPr/>
      </xdr:nvGrpSpPr>
      <xdr:grpSpPr>
        <a:xfrm>
          <a:off x="127635" y="6149251"/>
          <a:ext cx="7703234" cy="2243792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B21E3F13-EADC-6B66-E62C-4E28F0461643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4F729CA0-CB8A-31EF-5640-0B37C69C0032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52DD3269-A420-1473-CE7A-C98C77207F82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9" name="14 CuadroTexto">
              <a:extLst>
                <a:ext uri="{FF2B5EF4-FFF2-40B4-BE49-F238E27FC236}">
                  <a16:creationId xmlns:a16="http://schemas.microsoft.com/office/drawing/2014/main" id="{C5D1E845-0243-6C71-8F5B-1E65D297D258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0" name="15 CuadroTexto">
              <a:extLst>
                <a:ext uri="{FF2B5EF4-FFF2-40B4-BE49-F238E27FC236}">
                  <a16:creationId xmlns:a16="http://schemas.microsoft.com/office/drawing/2014/main" id="{384BCA7E-2FD3-3A93-0199-CA277E5830C5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28BED94E-7407-80FA-786A-BA7C0C1C2F8D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8246236-6C0E-4FF6-ADF8-05A778F2ABD9}"/>
            </a:ext>
          </a:extLst>
        </xdr:cNvPr>
        <xdr:cNvSpPr/>
      </xdr:nvSpPr>
      <xdr:spPr>
        <a:xfrm rot="21333714">
          <a:off x="1061084" y="338709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6AB4D9-797D-4D62-904A-8142D1812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22</xdr:row>
      <xdr:rowOff>129540</xdr:rowOff>
    </xdr:from>
    <xdr:to>
      <xdr:col>5</xdr:col>
      <xdr:colOff>280037</xdr:colOff>
      <xdr:row>33</xdr:row>
      <xdr:rowOff>4990</xdr:rowOff>
    </xdr:to>
    <xdr:grpSp>
      <xdr:nvGrpSpPr>
        <xdr:cNvPr id="4" name="9 Grupo">
          <a:extLst>
            <a:ext uri="{FF2B5EF4-FFF2-40B4-BE49-F238E27FC236}">
              <a16:creationId xmlns:a16="http://schemas.microsoft.com/office/drawing/2014/main" id="{7F26D75A-2AA0-44A3-98C1-B447295F6E14}"/>
            </a:ext>
          </a:extLst>
        </xdr:cNvPr>
        <xdr:cNvGrpSpPr/>
      </xdr:nvGrpSpPr>
      <xdr:grpSpPr>
        <a:xfrm>
          <a:off x="233099" y="5442883"/>
          <a:ext cx="7712842" cy="2182107"/>
          <a:chOff x="339769" y="8181396"/>
          <a:chExt cx="5996201" cy="1915443"/>
        </a:xfrm>
      </xdr:grpSpPr>
      <xdr:grpSp>
        <xdr:nvGrpSpPr>
          <xdr:cNvPr id="5" name="10 Grupo">
            <a:extLst>
              <a:ext uri="{FF2B5EF4-FFF2-40B4-BE49-F238E27FC236}">
                <a16:creationId xmlns:a16="http://schemas.microsoft.com/office/drawing/2014/main" id="{B6AA97F1-1438-793C-DAD1-F2D038BB75F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7" name="12 CuadroTexto">
              <a:extLst>
                <a:ext uri="{FF2B5EF4-FFF2-40B4-BE49-F238E27FC236}">
                  <a16:creationId xmlns:a16="http://schemas.microsoft.com/office/drawing/2014/main" id="{5C3C73D6-ADB8-32C3-E0CE-3638F9E32D5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8" name="13 CuadroTexto">
              <a:extLst>
                <a:ext uri="{FF2B5EF4-FFF2-40B4-BE49-F238E27FC236}">
                  <a16:creationId xmlns:a16="http://schemas.microsoft.com/office/drawing/2014/main" id="{F43F329F-5BC8-CFDB-6CF8-91D10258847E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9" name="14 CuadroTexto">
              <a:extLst>
                <a:ext uri="{FF2B5EF4-FFF2-40B4-BE49-F238E27FC236}">
                  <a16:creationId xmlns:a16="http://schemas.microsoft.com/office/drawing/2014/main" id="{6803C91D-D452-C784-689E-B13D5F15D53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0" name="15 CuadroTexto">
              <a:extLst>
                <a:ext uri="{FF2B5EF4-FFF2-40B4-BE49-F238E27FC236}">
                  <a16:creationId xmlns:a16="http://schemas.microsoft.com/office/drawing/2014/main" id="{38B90CF2-23F7-D6B8-2640-F892A06A0AA7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094DF52E-BE49-109F-4DB5-E17DF39516F6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808984B-A3F1-4CE5-BF4B-D0A97D87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915B94E-C8EC-45E1-933D-A5424EE85272}"/>
            </a:ext>
          </a:extLst>
        </xdr:cNvPr>
        <xdr:cNvSpPr/>
      </xdr:nvSpPr>
      <xdr:spPr>
        <a:xfrm rot="21333714">
          <a:off x="1057274" y="33718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01E0390-BDFF-408A-98A1-7F1E399E8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1E2961D-D9F6-4961-AD6F-080FBCD48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3DE2394-0607-4E32-95CF-6DBE062C8167}"/>
            </a:ext>
          </a:extLst>
        </xdr:cNvPr>
        <xdr:cNvSpPr/>
      </xdr:nvSpPr>
      <xdr:spPr>
        <a:xfrm rot="21333714">
          <a:off x="1061084" y="338709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75AD46-80FF-4BE5-BE0A-88627B7DD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6F1C45D-BB3C-4F88-9C5B-CB91E0944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252154B-E50B-49BC-AD30-71D67106C0D9}"/>
            </a:ext>
          </a:extLst>
        </xdr:cNvPr>
        <xdr:cNvSpPr/>
      </xdr:nvSpPr>
      <xdr:spPr>
        <a:xfrm rot="21333714">
          <a:off x="1057274" y="33718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66AA8F3-4731-47D9-8DC3-52FC5189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146685</xdr:colOff>
      <xdr:row>27</xdr:row>
      <xdr:rowOff>34290</xdr:rowOff>
    </xdr:from>
    <xdr:to>
      <xdr:col>5</xdr:col>
      <xdr:colOff>194312</xdr:colOff>
      <xdr:row>38</xdr:row>
      <xdr:rowOff>52615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9EBF18D0-A816-4786-8023-67BCB10F6211}"/>
            </a:ext>
          </a:extLst>
        </xdr:cNvPr>
        <xdr:cNvGrpSpPr/>
      </xdr:nvGrpSpPr>
      <xdr:grpSpPr>
        <a:xfrm>
          <a:off x="146685" y="6284402"/>
          <a:ext cx="7710436" cy="2297904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643EA4C4-3231-C4ED-74F9-5A9CD77D0BA5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42C2664F-6133-6B81-C69F-B57843024D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8F903E34-546C-32ED-98A6-08826C16D34D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9" name="14 CuadroTexto">
              <a:extLst>
                <a:ext uri="{FF2B5EF4-FFF2-40B4-BE49-F238E27FC236}">
                  <a16:creationId xmlns:a16="http://schemas.microsoft.com/office/drawing/2014/main" id="{5825C657-A8FD-33B3-85F7-03E1D355BB9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0" name="15 CuadroTexto">
              <a:extLst>
                <a:ext uri="{FF2B5EF4-FFF2-40B4-BE49-F238E27FC236}">
                  <a16:creationId xmlns:a16="http://schemas.microsoft.com/office/drawing/2014/main" id="{9F869CBF-EFD6-E5A4-B308-6EB39C4B5CEC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14E03424-8190-E1DD-0529-BA56E613AA15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D0DCE06-651D-4DB4-8512-0153F95D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4995B63-6D72-4156-A325-C909A4B882C5}"/>
            </a:ext>
          </a:extLst>
        </xdr:cNvPr>
        <xdr:cNvSpPr/>
      </xdr:nvSpPr>
      <xdr:spPr>
        <a:xfrm rot="21333714">
          <a:off x="1061084" y="338709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A311DF-F985-4B89-8ADA-3BCF767E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F551E75-8CEB-49C0-9AE0-21D7A95D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E0C53E59-6D71-48B6-8826-C831082F07A3}"/>
            </a:ext>
          </a:extLst>
        </xdr:cNvPr>
        <xdr:cNvSpPr/>
      </xdr:nvSpPr>
      <xdr:spPr>
        <a:xfrm rot="21333714">
          <a:off x="1057274" y="33718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A2304D7-0010-4AE4-A039-27B2D05D7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27</xdr:row>
      <xdr:rowOff>62865</xdr:rowOff>
    </xdr:from>
    <xdr:to>
      <xdr:col>5</xdr:col>
      <xdr:colOff>184787</xdr:colOff>
      <xdr:row>38</xdr:row>
      <xdr:rowOff>81190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7BB4E89F-D058-47ED-913D-5A44F53CFBC5}"/>
            </a:ext>
          </a:extLst>
        </xdr:cNvPr>
        <xdr:cNvGrpSpPr/>
      </xdr:nvGrpSpPr>
      <xdr:grpSpPr>
        <a:xfrm>
          <a:off x="137160" y="6171289"/>
          <a:ext cx="7709040" cy="2233923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65429713-141F-D642-CCF1-85F31CF3DEC7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CF1F7F09-3CAD-3206-A35E-0CD6A9CB76BF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283B02DB-C6B9-96CF-D460-44411EB50914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9" name="14 CuadroTexto">
              <a:extLst>
                <a:ext uri="{FF2B5EF4-FFF2-40B4-BE49-F238E27FC236}">
                  <a16:creationId xmlns:a16="http://schemas.microsoft.com/office/drawing/2014/main" id="{3A2C6C4D-5EB3-53E8-130E-CF761B8BD5DC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0" name="15 CuadroTexto">
              <a:extLst>
                <a:ext uri="{FF2B5EF4-FFF2-40B4-BE49-F238E27FC236}">
                  <a16:creationId xmlns:a16="http://schemas.microsoft.com/office/drawing/2014/main" id="{47F60AA8-F07E-DE0D-FEF9-7A9FABF9BFDE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753B0448-21A3-DBEB-ACE8-27A285C89D3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2640512-F000-41F9-8BF9-F2797BDC7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AAA34A-8C7B-424F-9A47-5731FC76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6556766-2330-45D1-AAA4-BE4AF41F5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1B4BE6E-CEE2-43C4-AF56-771B81AF7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148272</xdr:colOff>
      <xdr:row>23</xdr:row>
      <xdr:rowOff>33497</xdr:rowOff>
    </xdr:from>
    <xdr:to>
      <xdr:col>5</xdr:col>
      <xdr:colOff>195899</xdr:colOff>
      <xdr:row>34</xdr:row>
      <xdr:rowOff>41899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62242BEF-8C85-4795-90E2-EBAECFD45F05}"/>
            </a:ext>
          </a:extLst>
        </xdr:cNvPr>
        <xdr:cNvGrpSpPr/>
      </xdr:nvGrpSpPr>
      <xdr:grpSpPr>
        <a:xfrm>
          <a:off x="148272" y="5430997"/>
          <a:ext cx="7697393" cy="2250746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20FC4407-DDC3-784D-C3F6-E089AD9422F1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6BF37286-A44D-7D11-01A8-69DFBF0CA262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703C9741-E46A-E910-7C03-DEA94C5C97AA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9" name="14 CuadroTexto">
              <a:extLst>
                <a:ext uri="{FF2B5EF4-FFF2-40B4-BE49-F238E27FC236}">
                  <a16:creationId xmlns:a16="http://schemas.microsoft.com/office/drawing/2014/main" id="{36324015-B075-3BE3-7D95-E157B309C71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0" name="15 CuadroTexto">
              <a:extLst>
                <a:ext uri="{FF2B5EF4-FFF2-40B4-BE49-F238E27FC236}">
                  <a16:creationId xmlns:a16="http://schemas.microsoft.com/office/drawing/2014/main" id="{725E8144-55E1-9C95-CB9B-34ABD670EF02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71685DC0-5726-4CDA-ED59-C3D35E57483A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36A37DC-94C2-4EB7-9997-8C4EEC0E6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23E83-3FE4-476B-A34F-B4302B67A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A04441A-B9BD-47B0-878D-3435920D9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1762B01-806C-42E1-8194-249AC6915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27</xdr:row>
      <xdr:rowOff>24765</xdr:rowOff>
    </xdr:from>
    <xdr:to>
      <xdr:col>5</xdr:col>
      <xdr:colOff>247652</xdr:colOff>
      <xdr:row>38</xdr:row>
      <xdr:rowOff>43090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D3094E65-BF3D-4E98-B316-58A9606EC25A}"/>
            </a:ext>
          </a:extLst>
        </xdr:cNvPr>
        <xdr:cNvGrpSpPr/>
      </xdr:nvGrpSpPr>
      <xdr:grpSpPr>
        <a:xfrm>
          <a:off x="196048" y="6189847"/>
          <a:ext cx="7713472" cy="2729287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9D123BC4-A448-1651-6EB9-C5E2DED2B7E5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C40BBEDC-7575-4C65-F2C2-DF34B7E6839B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520B05C9-18A5-1676-BFC3-D4377FD038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9" name="14 CuadroTexto">
              <a:extLst>
                <a:ext uri="{FF2B5EF4-FFF2-40B4-BE49-F238E27FC236}">
                  <a16:creationId xmlns:a16="http://schemas.microsoft.com/office/drawing/2014/main" id="{13CB4B77-08B8-6346-B895-13923A7E4234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0" name="15 CuadroTexto">
              <a:extLst>
                <a:ext uri="{FF2B5EF4-FFF2-40B4-BE49-F238E27FC236}">
                  <a16:creationId xmlns:a16="http://schemas.microsoft.com/office/drawing/2014/main" id="{981F6E90-66CB-D17F-F197-615B4D05A9AE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192910ED-6C33-C889-D42F-142045CAF7AF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54DD1DA-39D2-4496-984B-A89555E8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69875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B51076-0C06-439F-9EF1-C66A63DDC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675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86B008D-3FE4-4AE7-B8BA-D43DE30A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601877D-8B2B-43A0-A73D-E4F29D1C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69875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0DBEECB-D387-4C46-B8B5-3BAFE31AD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29</xdr:row>
      <xdr:rowOff>91440</xdr:rowOff>
    </xdr:from>
    <xdr:to>
      <xdr:col>5</xdr:col>
      <xdr:colOff>70487</xdr:colOff>
      <xdr:row>46</xdr:row>
      <xdr:rowOff>109765</xdr:rowOff>
    </xdr:to>
    <xdr:grpSp>
      <xdr:nvGrpSpPr>
        <xdr:cNvPr id="22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2860" y="7157661"/>
          <a:ext cx="7977743" cy="3385302"/>
          <a:chOff x="339769" y="8181396"/>
          <a:chExt cx="5996201" cy="1915443"/>
        </a:xfrm>
      </xdr:grpSpPr>
      <xdr:grpSp>
        <xdr:nvGrpSpPr>
          <xdr:cNvPr id="23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5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6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7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8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4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F2666C-A618-4822-9BD1-27CDC7D8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570" y="283210"/>
          <a:ext cx="1012024" cy="9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6FA3455-29C7-4A4A-BFC0-8AFB82D3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60" y="257810"/>
          <a:ext cx="975445" cy="969010"/>
        </a:xfrm>
        <a:prstGeom prst="rect">
          <a:avLst/>
        </a:prstGeom>
      </xdr:spPr>
    </xdr:pic>
    <xdr:clientData/>
  </xdr:twoCellAnchor>
  <xdr:twoCellAnchor editAs="oneCell">
    <xdr:from>
      <xdr:col>4</xdr:col>
      <xdr:colOff>92075</xdr:colOff>
      <xdr:row>1</xdr:row>
      <xdr:rowOff>107950</xdr:rowOff>
    </xdr:from>
    <xdr:to>
      <xdr:col>4</xdr:col>
      <xdr:colOff>1104099</xdr:colOff>
      <xdr:row>6</xdr:row>
      <xdr:rowOff>140420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B3F2415-7AF2-4765-8294-15DE8841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0025" y="269875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474DAF9-4623-4FB8-B41E-C0C2E039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92075</xdr:colOff>
      <xdr:row>1</xdr:row>
      <xdr:rowOff>107950</xdr:rowOff>
    </xdr:from>
    <xdr:to>
      <xdr:col>4</xdr:col>
      <xdr:colOff>1104099</xdr:colOff>
      <xdr:row>6</xdr:row>
      <xdr:rowOff>139842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4525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44</xdr:row>
      <xdr:rowOff>129540</xdr:rowOff>
    </xdr:from>
    <xdr:to>
      <xdr:col>6</xdr:col>
      <xdr:colOff>3812</xdr:colOff>
      <xdr:row>61</xdr:row>
      <xdr:rowOff>4990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34142" y="11992495"/>
          <a:ext cx="9429367" cy="3310222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9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104197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67%20CTA%20INGRESOS%20PROPIOS%202025%20ACAJE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68%20CTA%20PARTICIPACIONES%202025%20ACAJE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69%20CTA%20FAISMUN%202025%20ACAJE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70%20CTA%20FORTAMUN%202025%20ACAJE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3%20CTA%20FAISMUN%202026%20ACAJE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4%20CTA%20FORTAMUN%202026%20ACAJE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5%20CTA%20PARTICIPACIONES%202026%20ACAJE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6%20CTA%20INGRESOS%20FISCALES%202026%20ACAJ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S 2025"/>
      <sheetName val="INGRESOS"/>
      <sheetName val="DEPOSITOS CTA INGRESOS 2025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IONES 2025"/>
      <sheetName val="PARTICIPACIONES"/>
      <sheetName val="DEPOSITOS CTA PARTICIPACIONES 5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ISMUN 2025"/>
      <sheetName val="FAISMUN"/>
      <sheetName val="DEPOSITOS CTA FAISMUN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TAMUN 2025"/>
      <sheetName val="FORTAMUN"/>
      <sheetName val="DEPOSITOS CTA FORTAMUN 2025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ISMUN 2026"/>
      <sheetName val="FAISMUN"/>
      <sheetName val="DEPOSITOS CTA FAISMUN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TAMUN 2026"/>
      <sheetName val="FORTAMUN"/>
      <sheetName val="DEPOSITOS CTA FORTAMUN 2026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IONES 2026"/>
      <sheetName val="PARTICIPACIONES"/>
      <sheetName val="DEPOSITOS CTA PARTICIPACIONES 6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ALES 2026"/>
      <sheetName val="CHEQUES"/>
      <sheetName val="DEPOSITOS CTA FISCALES"/>
    </sheetNames>
    <sheetDataSet>
      <sheetData sheetId="0"/>
      <sheetData sheetId="1">
        <row r="14">
          <cell r="B14" t="str">
            <v>AL MES DE : MARZO DE 2026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zoomScale="107" zoomScaleNormal="100" zoomScaleSheetLayoutView="107" workbookViewId="0">
      <selection activeCell="D29" sqref="D29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D2" s="6"/>
      <c r="F2" s="7"/>
    </row>
    <row r="3" spans="1:6" ht="15.75" x14ac:dyDescent="0.25">
      <c r="A3" s="5"/>
      <c r="B3" s="71" t="s">
        <v>1</v>
      </c>
      <c r="C3" s="71"/>
      <c r="D3" s="71"/>
      <c r="E3" s="71"/>
      <c r="F3" s="7"/>
    </row>
    <row r="4" spans="1:6" x14ac:dyDescent="0.25">
      <c r="A4" s="5"/>
      <c r="B4" s="6"/>
      <c r="D4" s="8"/>
      <c r="F4" s="7"/>
    </row>
    <row r="5" spans="1:6" x14ac:dyDescent="0.25">
      <c r="A5" s="5"/>
      <c r="B5" s="72" t="s">
        <v>2</v>
      </c>
      <c r="C5" s="72"/>
      <c r="D5" s="72"/>
      <c r="E5" s="72"/>
      <c r="F5" s="9"/>
    </row>
    <row r="6" spans="1:6" x14ac:dyDescent="0.25">
      <c r="A6" s="5"/>
      <c r="E6" s="10"/>
      <c r="F6" s="11"/>
    </row>
    <row r="7" spans="1:6" x14ac:dyDescent="0.25">
      <c r="A7" s="73" t="s">
        <v>14</v>
      </c>
      <c r="B7" s="74"/>
      <c r="C7" s="74"/>
      <c r="D7" s="74"/>
      <c r="E7" s="74"/>
      <c r="F7" s="75"/>
    </row>
    <row r="8" spans="1:6" x14ac:dyDescent="0.25">
      <c r="A8" s="5"/>
      <c r="F8" s="11"/>
    </row>
    <row r="9" spans="1:6" x14ac:dyDescent="0.25">
      <c r="A9" s="5"/>
      <c r="F9" s="11"/>
    </row>
    <row r="10" spans="1:6" x14ac:dyDescent="0.25">
      <c r="A10" s="76" t="s">
        <v>15</v>
      </c>
      <c r="B10" s="77"/>
      <c r="C10" s="77"/>
      <c r="D10" s="77"/>
      <c r="E10" s="77"/>
      <c r="F10" s="78"/>
    </row>
    <row r="11" spans="1:6" ht="22.5" customHeight="1" x14ac:dyDescent="0.25">
      <c r="A11" s="5"/>
      <c r="F11" s="7"/>
    </row>
    <row r="12" spans="1:6" x14ac:dyDescent="0.25">
      <c r="A12" s="5"/>
      <c r="B12" s="10" t="s">
        <v>16</v>
      </c>
      <c r="D12" s="79" t="s">
        <v>17</v>
      </c>
      <c r="E12" s="79"/>
      <c r="F12" s="7"/>
    </row>
    <row r="13" spans="1:6" x14ac:dyDescent="0.25">
      <c r="A13" s="5"/>
      <c r="B13" s="13" t="s">
        <v>7</v>
      </c>
      <c r="D13" s="79" t="s">
        <v>18</v>
      </c>
      <c r="E13" s="79"/>
      <c r="F13" s="7"/>
    </row>
    <row r="14" spans="1:6" x14ac:dyDescent="0.25">
      <c r="A14" s="5"/>
      <c r="B14" s="10"/>
      <c r="D14" s="14"/>
      <c r="F14" s="7"/>
    </row>
    <row r="15" spans="1:6" x14ac:dyDescent="0.25">
      <c r="A15" s="5"/>
      <c r="B15" s="69" t="str">
        <f>+[1]INGRESOS!B14:F14</f>
        <v>AL MES DE : MARZO DE 2026</v>
      </c>
      <c r="C15" s="69"/>
      <c r="D15" s="69"/>
      <c r="E15" s="69"/>
      <c r="F15" s="11"/>
    </row>
    <row r="16" spans="1:6" x14ac:dyDescent="0.25">
      <c r="A16" s="5"/>
      <c r="B16" s="15"/>
      <c r="C16" s="15"/>
      <c r="D16" s="15"/>
      <c r="E16" s="15"/>
      <c r="F16" s="7"/>
    </row>
    <row r="17" spans="1:9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</row>
    <row r="18" spans="1:9" ht="34.5" customHeight="1" x14ac:dyDescent="0.25">
      <c r="A18" s="5"/>
      <c r="B18" s="21"/>
      <c r="C18" s="22"/>
      <c r="D18" s="23"/>
      <c r="E18" s="24"/>
      <c r="F18" s="7"/>
    </row>
    <row r="19" spans="1:9" ht="34.5" customHeight="1" x14ac:dyDescent="0.25">
      <c r="A19" s="5"/>
      <c r="B19" s="21"/>
      <c r="C19" s="22"/>
      <c r="D19" s="23"/>
      <c r="E19" s="24"/>
      <c r="F19" s="7"/>
    </row>
    <row r="20" spans="1:9" ht="34.5" customHeight="1" x14ac:dyDescent="0.25">
      <c r="A20" s="5"/>
      <c r="B20" s="21"/>
      <c r="C20" s="22"/>
      <c r="D20" s="23"/>
      <c r="E20" s="24"/>
      <c r="F20" s="7"/>
    </row>
    <row r="21" spans="1:9" ht="18" customHeight="1" x14ac:dyDescent="0.25">
      <c r="A21" s="5"/>
      <c r="B21" s="70"/>
      <c r="C21" s="70"/>
      <c r="D21" s="17" t="s">
        <v>13</v>
      </c>
      <c r="E21" s="25">
        <f>SUM(E18:E20)</f>
        <v>0</v>
      </c>
      <c r="F21" s="7"/>
    </row>
    <row r="22" spans="1:9" x14ac:dyDescent="0.25">
      <c r="A22" s="5"/>
      <c r="F22" s="7"/>
    </row>
    <row r="23" spans="1:9" s="32" customFormat="1" x14ac:dyDescent="0.2">
      <c r="A23" s="26"/>
      <c r="B23" s="27"/>
      <c r="C23" s="28"/>
      <c r="D23" s="29"/>
      <c r="E23" s="27"/>
      <c r="F23" s="30"/>
      <c r="G23" s="35"/>
      <c r="I23" s="39"/>
    </row>
    <row r="24" spans="1:9" s="32" customFormat="1" x14ac:dyDescent="0.2">
      <c r="A24" s="26"/>
      <c r="B24" s="27"/>
      <c r="C24" s="28"/>
      <c r="D24" s="33"/>
      <c r="E24" s="33"/>
      <c r="F24" s="34"/>
      <c r="G24" s="35"/>
      <c r="I24" s="39"/>
    </row>
    <row r="25" spans="1:9" s="32" customFormat="1" x14ac:dyDescent="0.2">
      <c r="A25" s="26"/>
      <c r="B25" s="27"/>
      <c r="C25" s="28"/>
      <c r="D25" s="33"/>
      <c r="E25" s="33"/>
      <c r="F25" s="34"/>
      <c r="G25" s="35"/>
      <c r="I25" s="39"/>
    </row>
    <row r="26" spans="1:9" s="32" customFormat="1" x14ac:dyDescent="0.2">
      <c r="A26" s="26"/>
      <c r="B26" s="27"/>
      <c r="C26" s="27"/>
      <c r="D26" s="27"/>
      <c r="E26" s="27"/>
      <c r="F26" s="35"/>
      <c r="G26" s="35"/>
      <c r="I26" s="39"/>
    </row>
    <row r="27" spans="1:9" s="32" customFormat="1" x14ac:dyDescent="0.2">
      <c r="A27" s="26"/>
      <c r="B27" s="33"/>
      <c r="C27" s="33"/>
      <c r="D27" s="33"/>
      <c r="E27" s="33"/>
      <c r="F27" s="36"/>
      <c r="G27" s="36"/>
      <c r="I27" s="39"/>
    </row>
    <row r="28" spans="1:9" s="32" customFormat="1" x14ac:dyDescent="0.2">
      <c r="A28" s="26"/>
      <c r="B28" s="27"/>
      <c r="C28" s="37"/>
      <c r="D28" s="33"/>
      <c r="E28" s="33"/>
      <c r="F28" s="34"/>
      <c r="G28" s="35"/>
      <c r="I28" s="39"/>
    </row>
    <row r="29" spans="1:9" s="32" customFormat="1" ht="28.5" customHeight="1" x14ac:dyDescent="0.2">
      <c r="A29" s="26"/>
      <c r="B29" s="27"/>
      <c r="C29" s="37"/>
      <c r="D29" s="33"/>
      <c r="E29" s="33"/>
      <c r="F29" s="34"/>
      <c r="G29" s="35"/>
      <c r="I29" s="39"/>
    </row>
    <row r="30" spans="1:9" s="39" customFormat="1" x14ac:dyDescent="0.2">
      <c r="A30" s="38"/>
      <c r="B30" s="27"/>
      <c r="C30" s="37"/>
      <c r="D30" s="33"/>
      <c r="E30" s="33"/>
      <c r="F30" s="34"/>
      <c r="G30" s="35"/>
      <c r="H30" s="32"/>
    </row>
    <row r="31" spans="1:9" s="39" customFormat="1" ht="14.25" x14ac:dyDescent="0.2">
      <c r="A31" s="38"/>
      <c r="B31" s="29"/>
      <c r="C31" s="29"/>
      <c r="D31" s="29"/>
      <c r="E31" s="29"/>
      <c r="F31" s="40"/>
      <c r="G31" s="40"/>
      <c r="H31" s="32"/>
    </row>
    <row r="32" spans="1:9" s="39" customFormat="1" x14ac:dyDescent="0.2">
      <c r="A32" s="38"/>
      <c r="B32" s="28"/>
      <c r="C32" s="41"/>
      <c r="D32" s="41"/>
      <c r="E32" s="41"/>
      <c r="F32" s="30"/>
      <c r="G32" s="30"/>
      <c r="H32" s="32"/>
    </row>
    <row r="33" spans="1:8" s="39" customFormat="1" x14ac:dyDescent="0.2">
      <c r="A33" s="38"/>
      <c r="B33" s="28"/>
      <c r="C33" s="41"/>
      <c r="D33" s="41"/>
      <c r="E33" s="41"/>
      <c r="F33" s="30"/>
      <c r="G33" s="30"/>
      <c r="H33" s="32"/>
    </row>
    <row r="34" spans="1:8" x14ac:dyDescent="0.25">
      <c r="A34" s="5"/>
      <c r="B34" s="28"/>
      <c r="C34" s="41"/>
      <c r="D34" s="41"/>
      <c r="E34" s="41"/>
      <c r="F34" s="30"/>
      <c r="G34" s="30"/>
    </row>
    <row r="35" spans="1:8" x14ac:dyDescent="0.25">
      <c r="A35" s="5"/>
      <c r="B35" s="28"/>
      <c r="C35" s="28"/>
      <c r="D35" s="28"/>
      <c r="E35" s="42"/>
      <c r="F35" s="30"/>
      <c r="G35" s="30"/>
    </row>
    <row r="36" spans="1:8" x14ac:dyDescent="0.25">
      <c r="A36" s="5"/>
      <c r="C36" s="43"/>
      <c r="D36" s="43"/>
      <c r="F36" s="7"/>
    </row>
    <row r="37" spans="1:8" x14ac:dyDescent="0.25">
      <c r="A37" s="5"/>
      <c r="C37" s="43"/>
      <c r="D37" s="43"/>
      <c r="F37" s="7"/>
    </row>
    <row r="38" spans="1:8" x14ac:dyDescent="0.25">
      <c r="A38" s="5"/>
      <c r="D38" s="12"/>
      <c r="F38" s="7"/>
    </row>
    <row r="39" spans="1:8" ht="15.75" thickBot="1" x14ac:dyDescent="0.3">
      <c r="A39" s="44"/>
      <c r="B39" s="45"/>
      <c r="C39" s="45"/>
      <c r="D39" s="46"/>
      <c r="E39" s="45"/>
      <c r="F39" s="47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zoomScale="83" zoomScaleNormal="100" zoomScaleSheetLayoutView="83" workbookViewId="0">
      <selection activeCell="J14" sqref="J14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D2" s="6"/>
      <c r="F2" s="7"/>
    </row>
    <row r="3" spans="1:6" ht="15.75" x14ac:dyDescent="0.25">
      <c r="A3" s="5"/>
      <c r="B3" s="71" t="s">
        <v>1</v>
      </c>
      <c r="C3" s="71"/>
      <c r="D3" s="71"/>
      <c r="E3" s="71"/>
      <c r="F3" s="7"/>
    </row>
    <row r="4" spans="1:6" x14ac:dyDescent="0.25">
      <c r="A4" s="5"/>
      <c r="B4" s="6"/>
      <c r="D4" s="8"/>
      <c r="F4" s="7"/>
    </row>
    <row r="5" spans="1:6" x14ac:dyDescent="0.25">
      <c r="A5" s="5"/>
      <c r="B5" s="72" t="s">
        <v>2</v>
      </c>
      <c r="C5" s="72"/>
      <c r="D5" s="72"/>
      <c r="E5" s="72"/>
      <c r="F5" s="9"/>
    </row>
    <row r="6" spans="1:6" x14ac:dyDescent="0.25">
      <c r="A6" s="5"/>
      <c r="E6" s="10"/>
      <c r="F6" s="11"/>
    </row>
    <row r="7" spans="1:6" x14ac:dyDescent="0.25">
      <c r="A7" s="73" t="s">
        <v>38</v>
      </c>
      <c r="B7" s="74"/>
      <c r="C7" s="74"/>
      <c r="D7" s="74"/>
      <c r="E7" s="74"/>
      <c r="F7" s="75"/>
    </row>
    <row r="8" spans="1:6" x14ac:dyDescent="0.25">
      <c r="A8" s="5"/>
      <c r="F8" s="11"/>
    </row>
    <row r="9" spans="1:6" x14ac:dyDescent="0.25">
      <c r="A9" s="5"/>
      <c r="F9" s="11"/>
    </row>
    <row r="10" spans="1:6" x14ac:dyDescent="0.25">
      <c r="A10" s="76" t="s">
        <v>39</v>
      </c>
      <c r="B10" s="77"/>
      <c r="C10" s="77"/>
      <c r="D10" s="77"/>
      <c r="E10" s="77"/>
      <c r="F10" s="78"/>
    </row>
    <row r="11" spans="1:6" ht="22.5" customHeight="1" x14ac:dyDescent="0.25">
      <c r="A11" s="5"/>
      <c r="F11" s="7"/>
    </row>
    <row r="12" spans="1:6" x14ac:dyDescent="0.25">
      <c r="A12" s="5"/>
      <c r="B12" s="10" t="s">
        <v>40</v>
      </c>
      <c r="D12" s="79" t="s">
        <v>41</v>
      </c>
      <c r="E12" s="79"/>
      <c r="F12" s="7"/>
    </row>
    <row r="13" spans="1:6" x14ac:dyDescent="0.25">
      <c r="A13" s="5"/>
      <c r="B13" s="13" t="s">
        <v>7</v>
      </c>
      <c r="D13" s="79" t="s">
        <v>18</v>
      </c>
      <c r="E13" s="79"/>
      <c r="F13" s="7"/>
    </row>
    <row r="14" spans="1:6" x14ac:dyDescent="0.25">
      <c r="A14" s="5"/>
      <c r="B14" s="10"/>
      <c r="D14" s="14"/>
      <c r="F14" s="7"/>
    </row>
    <row r="15" spans="1:6" x14ac:dyDescent="0.25">
      <c r="A15" s="5"/>
      <c r="B15" s="69" t="str">
        <f>+[2]PARTICIPACIONES!B14:F14</f>
        <v>AL MES DE : MARZO DE 2026</v>
      </c>
      <c r="C15" s="69"/>
      <c r="D15" s="69"/>
      <c r="E15" s="69"/>
      <c r="F15" s="11"/>
    </row>
    <row r="16" spans="1:6" x14ac:dyDescent="0.25">
      <c r="A16" s="5"/>
      <c r="B16" s="15"/>
      <c r="C16" s="15"/>
      <c r="D16" s="15"/>
      <c r="E16" s="15"/>
      <c r="F16" s="7"/>
    </row>
    <row r="17" spans="1:9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</row>
    <row r="18" spans="1:9" ht="34.5" customHeight="1" x14ac:dyDescent="0.25">
      <c r="A18" s="5"/>
      <c r="B18" s="21"/>
      <c r="C18" s="22"/>
      <c r="D18" s="23"/>
      <c r="E18" s="24"/>
      <c r="F18" s="7"/>
    </row>
    <row r="19" spans="1:9" ht="34.5" customHeight="1" x14ac:dyDescent="0.25">
      <c r="A19" s="5"/>
      <c r="B19" s="21"/>
      <c r="C19" s="22"/>
      <c r="D19" s="23"/>
      <c r="E19" s="24"/>
      <c r="F19" s="7"/>
    </row>
    <row r="20" spans="1:9" ht="34.5" customHeight="1" x14ac:dyDescent="0.25">
      <c r="A20" s="5"/>
      <c r="B20" s="21"/>
      <c r="C20" s="22"/>
      <c r="D20" s="23"/>
      <c r="E20" s="24"/>
      <c r="F20" s="7"/>
    </row>
    <row r="21" spans="1:9" ht="18" customHeight="1" x14ac:dyDescent="0.25">
      <c r="A21" s="5"/>
      <c r="B21" s="70"/>
      <c r="C21" s="70"/>
      <c r="D21" s="17" t="s">
        <v>13</v>
      </c>
      <c r="E21" s="25">
        <f>SUM(E18:E20)</f>
        <v>0</v>
      </c>
      <c r="F21" s="7"/>
    </row>
    <row r="22" spans="1:9" x14ac:dyDescent="0.25">
      <c r="A22" s="5"/>
      <c r="F22" s="7"/>
    </row>
    <row r="23" spans="1:9" s="32" customFormat="1" x14ac:dyDescent="0.2">
      <c r="A23" s="26"/>
      <c r="B23" s="27"/>
      <c r="C23" s="28"/>
      <c r="D23" s="29"/>
      <c r="E23" s="27"/>
      <c r="F23" s="30"/>
      <c r="G23" s="35"/>
      <c r="I23" s="39"/>
    </row>
    <row r="24" spans="1:9" s="32" customFormat="1" x14ac:dyDescent="0.2">
      <c r="A24" s="26"/>
      <c r="B24" s="27"/>
      <c r="C24" s="28"/>
      <c r="D24" s="33"/>
      <c r="E24" s="33"/>
      <c r="F24" s="34"/>
      <c r="G24" s="35"/>
      <c r="I24" s="39"/>
    </row>
    <row r="25" spans="1:9" s="32" customFormat="1" x14ac:dyDescent="0.2">
      <c r="A25" s="26"/>
      <c r="B25" s="27"/>
      <c r="C25" s="28"/>
      <c r="D25" s="33"/>
      <c r="E25" s="33"/>
      <c r="F25" s="34"/>
      <c r="G25" s="35"/>
      <c r="I25" s="39"/>
    </row>
    <row r="26" spans="1:9" s="32" customFormat="1" x14ac:dyDescent="0.2">
      <c r="A26" s="26"/>
      <c r="B26" s="27"/>
      <c r="C26" s="27"/>
      <c r="D26" s="27"/>
      <c r="E26" s="27"/>
      <c r="F26" s="35"/>
      <c r="G26" s="35"/>
      <c r="I26" s="39"/>
    </row>
    <row r="27" spans="1:9" s="32" customFormat="1" x14ac:dyDescent="0.2">
      <c r="A27" s="26"/>
      <c r="B27" s="33"/>
      <c r="C27" s="33"/>
      <c r="D27" s="33"/>
      <c r="E27" s="33"/>
      <c r="F27" s="36"/>
      <c r="G27" s="36"/>
      <c r="I27" s="39"/>
    </row>
    <row r="28" spans="1:9" s="32" customFormat="1" x14ac:dyDescent="0.2">
      <c r="A28" s="26"/>
      <c r="B28" s="27"/>
      <c r="C28" s="37"/>
      <c r="D28" s="33"/>
      <c r="E28" s="33"/>
      <c r="F28" s="34"/>
      <c r="G28" s="35"/>
      <c r="I28" s="39"/>
    </row>
    <row r="29" spans="1:9" s="32" customFormat="1" ht="28.5" customHeight="1" x14ac:dyDescent="0.2">
      <c r="A29" s="26"/>
      <c r="B29" s="27"/>
      <c r="C29" s="37"/>
      <c r="D29" s="33"/>
      <c r="E29" s="33"/>
      <c r="F29" s="34"/>
      <c r="G29" s="35"/>
      <c r="I29" s="39"/>
    </row>
    <row r="30" spans="1:9" s="39" customFormat="1" x14ac:dyDescent="0.2">
      <c r="A30" s="38"/>
      <c r="B30" s="27"/>
      <c r="C30" s="37"/>
      <c r="D30" s="33"/>
      <c r="E30" s="33"/>
      <c r="F30" s="34"/>
      <c r="G30" s="35"/>
      <c r="H30" s="32"/>
    </row>
    <row r="31" spans="1:9" s="39" customFormat="1" ht="14.25" x14ac:dyDescent="0.2">
      <c r="A31" s="38"/>
      <c r="B31" s="29"/>
      <c r="C31" s="29"/>
      <c r="D31" s="29"/>
      <c r="E31" s="29"/>
      <c r="F31" s="40"/>
      <c r="G31" s="40"/>
      <c r="H31" s="32"/>
    </row>
    <row r="32" spans="1:9" s="39" customFormat="1" x14ac:dyDescent="0.2">
      <c r="A32" s="38"/>
      <c r="B32" s="28"/>
      <c r="C32" s="41"/>
      <c r="D32" s="41"/>
      <c r="E32" s="41"/>
      <c r="F32" s="30"/>
      <c r="G32" s="30"/>
      <c r="H32" s="32"/>
    </row>
    <row r="33" spans="1:8" s="39" customFormat="1" x14ac:dyDescent="0.2">
      <c r="A33" s="38"/>
      <c r="B33" s="28"/>
      <c r="C33" s="41"/>
      <c r="D33" s="41"/>
      <c r="E33" s="41"/>
      <c r="F33" s="30"/>
      <c r="G33" s="30"/>
      <c r="H33" s="32"/>
    </row>
    <row r="34" spans="1:8" x14ac:dyDescent="0.25">
      <c r="A34" s="5"/>
      <c r="B34" s="28"/>
      <c r="C34" s="41"/>
      <c r="D34" s="41"/>
      <c r="E34" s="41"/>
      <c r="F34" s="30"/>
      <c r="G34" s="30"/>
    </row>
    <row r="35" spans="1:8" x14ac:dyDescent="0.25">
      <c r="A35" s="5"/>
      <c r="B35" s="28"/>
      <c r="C35" s="28"/>
      <c r="D35" s="28"/>
      <c r="E35" s="42"/>
      <c r="F35" s="30"/>
      <c r="G35" s="30"/>
    </row>
    <row r="36" spans="1:8" x14ac:dyDescent="0.25">
      <c r="A36" s="5"/>
      <c r="C36" s="43"/>
      <c r="D36" s="43"/>
      <c r="F36" s="7"/>
    </row>
    <row r="37" spans="1:8" x14ac:dyDescent="0.25">
      <c r="A37" s="5"/>
      <c r="C37" s="43"/>
      <c r="D37" s="43"/>
      <c r="F37" s="7"/>
    </row>
    <row r="38" spans="1:8" x14ac:dyDescent="0.25">
      <c r="A38" s="5"/>
      <c r="D38" s="12"/>
      <c r="F38" s="7"/>
    </row>
    <row r="39" spans="1:8" ht="15.75" thickBot="1" x14ac:dyDescent="0.3">
      <c r="A39" s="44"/>
      <c r="B39" s="45"/>
      <c r="C39" s="45"/>
      <c r="D39" s="46"/>
      <c r="E39" s="45"/>
      <c r="F39" s="47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zoomScale="89" zoomScaleNormal="100" zoomScaleSheetLayoutView="89" workbookViewId="0">
      <selection activeCell="J10" sqref="J10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D2" s="6"/>
      <c r="F2" s="7"/>
    </row>
    <row r="3" spans="1:6" ht="15.75" x14ac:dyDescent="0.25">
      <c r="A3" s="5"/>
      <c r="B3" s="71" t="s">
        <v>1</v>
      </c>
      <c r="C3" s="71"/>
      <c r="D3" s="71"/>
      <c r="E3" s="71"/>
      <c r="F3" s="7"/>
    </row>
    <row r="4" spans="1:6" x14ac:dyDescent="0.25">
      <c r="A4" s="5"/>
      <c r="B4" s="6"/>
      <c r="D4" s="8"/>
      <c r="F4" s="7"/>
    </row>
    <row r="5" spans="1:6" x14ac:dyDescent="0.25">
      <c r="A5" s="5"/>
      <c r="B5" s="72" t="s">
        <v>2</v>
      </c>
      <c r="C5" s="72"/>
      <c r="D5" s="72"/>
      <c r="E5" s="72"/>
      <c r="F5" s="9"/>
    </row>
    <row r="6" spans="1:6" x14ac:dyDescent="0.25">
      <c r="A6" s="5"/>
      <c r="E6" s="10"/>
      <c r="F6" s="11"/>
    </row>
    <row r="7" spans="1:6" x14ac:dyDescent="0.25">
      <c r="A7" s="73" t="s">
        <v>3</v>
      </c>
      <c r="B7" s="74"/>
      <c r="C7" s="74"/>
      <c r="D7" s="74"/>
      <c r="E7" s="74"/>
      <c r="F7" s="75"/>
    </row>
    <row r="8" spans="1:6" x14ac:dyDescent="0.25">
      <c r="A8" s="5"/>
      <c r="F8" s="11"/>
    </row>
    <row r="9" spans="1:6" x14ac:dyDescent="0.25">
      <c r="A9" s="5"/>
      <c r="F9" s="11"/>
    </row>
    <row r="10" spans="1:6" x14ac:dyDescent="0.25">
      <c r="A10" s="76" t="s">
        <v>4</v>
      </c>
      <c r="B10" s="77"/>
      <c r="C10" s="77"/>
      <c r="D10" s="77"/>
      <c r="E10" s="77"/>
      <c r="F10" s="78"/>
    </row>
    <row r="11" spans="1:6" ht="22.5" customHeight="1" x14ac:dyDescent="0.25">
      <c r="A11" s="5"/>
      <c r="F11" s="7"/>
    </row>
    <row r="12" spans="1:6" x14ac:dyDescent="0.25">
      <c r="A12" s="5"/>
      <c r="B12" s="10" t="s">
        <v>5</v>
      </c>
      <c r="D12" s="79" t="s">
        <v>6</v>
      </c>
      <c r="E12" s="79"/>
      <c r="F12" s="7"/>
    </row>
    <row r="13" spans="1:6" x14ac:dyDescent="0.25">
      <c r="A13" s="5"/>
      <c r="B13" s="13" t="s">
        <v>7</v>
      </c>
      <c r="D13" s="79" t="s">
        <v>8</v>
      </c>
      <c r="E13" s="79"/>
      <c r="F13" s="7"/>
    </row>
    <row r="14" spans="1:6" x14ac:dyDescent="0.25">
      <c r="A14" s="5"/>
      <c r="B14" s="10"/>
      <c r="D14" s="14"/>
      <c r="F14" s="7"/>
    </row>
    <row r="15" spans="1:6" x14ac:dyDescent="0.25">
      <c r="A15" s="5"/>
      <c r="B15" s="69" t="str">
        <f>+[3]FAISMUN!B14:F14</f>
        <v>AL MES DE : MARZO DE 2026</v>
      </c>
      <c r="C15" s="69"/>
      <c r="D15" s="69"/>
      <c r="E15" s="69"/>
      <c r="F15" s="11"/>
    </row>
    <row r="16" spans="1:6" x14ac:dyDescent="0.25">
      <c r="A16" s="5"/>
      <c r="B16" s="15"/>
      <c r="C16" s="15"/>
      <c r="D16" s="15"/>
      <c r="E16" s="15"/>
      <c r="F16" s="7"/>
    </row>
    <row r="17" spans="1:9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</row>
    <row r="18" spans="1:9" ht="34.5" customHeight="1" x14ac:dyDescent="0.25">
      <c r="A18" s="5"/>
      <c r="B18" s="21"/>
      <c r="C18" s="22"/>
      <c r="D18" s="23"/>
      <c r="E18" s="24"/>
      <c r="F18" s="7"/>
    </row>
    <row r="19" spans="1:9" ht="34.5" customHeight="1" x14ac:dyDescent="0.25">
      <c r="A19" s="5"/>
      <c r="B19" s="21"/>
      <c r="C19" s="22"/>
      <c r="D19" s="23"/>
      <c r="E19" s="24"/>
      <c r="F19" s="7"/>
    </row>
    <row r="20" spans="1:9" ht="34.5" customHeight="1" x14ac:dyDescent="0.25">
      <c r="A20" s="5"/>
      <c r="B20" s="21"/>
      <c r="C20" s="22"/>
      <c r="D20" s="23"/>
      <c r="E20" s="24"/>
      <c r="F20" s="7"/>
    </row>
    <row r="21" spans="1:9" ht="18" customHeight="1" x14ac:dyDescent="0.25">
      <c r="A21" s="5"/>
      <c r="B21" s="70"/>
      <c r="C21" s="70"/>
      <c r="D21" s="17" t="s">
        <v>13</v>
      </c>
      <c r="E21" s="25">
        <f>SUM(E18:E20)</f>
        <v>0</v>
      </c>
      <c r="F21" s="7"/>
    </row>
    <row r="22" spans="1:9" x14ac:dyDescent="0.25">
      <c r="A22" s="5"/>
      <c r="F22" s="7"/>
    </row>
    <row r="23" spans="1:9" s="32" customFormat="1" x14ac:dyDescent="0.2">
      <c r="A23" s="26"/>
      <c r="B23" s="27"/>
      <c r="C23" s="28"/>
      <c r="D23" s="29"/>
      <c r="E23" s="27"/>
      <c r="F23" s="30"/>
      <c r="G23" s="35"/>
      <c r="I23" s="39"/>
    </row>
    <row r="24" spans="1:9" s="32" customFormat="1" x14ac:dyDescent="0.2">
      <c r="A24" s="26"/>
      <c r="B24" s="27"/>
      <c r="C24" s="28"/>
      <c r="D24" s="33"/>
      <c r="E24" s="33"/>
      <c r="F24" s="34"/>
      <c r="G24" s="35"/>
      <c r="I24" s="39"/>
    </row>
    <row r="25" spans="1:9" s="32" customFormat="1" x14ac:dyDescent="0.2">
      <c r="A25" s="26"/>
      <c r="B25" s="27"/>
      <c r="C25" s="28"/>
      <c r="D25" s="33"/>
      <c r="E25" s="33"/>
      <c r="F25" s="34"/>
      <c r="G25" s="35"/>
      <c r="I25" s="39"/>
    </row>
    <row r="26" spans="1:9" s="32" customFormat="1" x14ac:dyDescent="0.2">
      <c r="A26" s="26"/>
      <c r="B26" s="27"/>
      <c r="C26" s="27"/>
      <c r="D26" s="27"/>
      <c r="E26" s="27"/>
      <c r="F26" s="35"/>
      <c r="G26" s="35"/>
      <c r="I26" s="39"/>
    </row>
    <row r="27" spans="1:9" s="32" customFormat="1" x14ac:dyDescent="0.2">
      <c r="A27" s="26"/>
      <c r="B27" s="33"/>
      <c r="C27" s="33"/>
      <c r="D27" s="33"/>
      <c r="E27" s="33"/>
      <c r="F27" s="36"/>
      <c r="G27" s="36"/>
      <c r="I27" s="39"/>
    </row>
    <row r="28" spans="1:9" s="32" customFormat="1" x14ac:dyDescent="0.2">
      <c r="A28" s="26"/>
      <c r="B28" s="27"/>
      <c r="C28" s="37"/>
      <c r="D28" s="33"/>
      <c r="E28" s="33"/>
      <c r="F28" s="34"/>
      <c r="G28" s="35"/>
      <c r="I28" s="39"/>
    </row>
    <row r="29" spans="1:9" s="32" customFormat="1" ht="28.5" customHeight="1" x14ac:dyDescent="0.2">
      <c r="A29" s="26"/>
      <c r="B29" s="27"/>
      <c r="C29" s="37"/>
      <c r="D29" s="33"/>
      <c r="E29" s="33"/>
      <c r="F29" s="34"/>
      <c r="G29" s="35"/>
      <c r="I29" s="39"/>
    </row>
    <row r="30" spans="1:9" s="39" customFormat="1" x14ac:dyDescent="0.2">
      <c r="A30" s="38"/>
      <c r="B30" s="27"/>
      <c r="C30" s="37"/>
      <c r="D30" s="33"/>
      <c r="E30" s="33"/>
      <c r="F30" s="34"/>
      <c r="G30" s="35"/>
      <c r="H30" s="32"/>
    </row>
    <row r="31" spans="1:9" s="39" customFormat="1" ht="14.25" x14ac:dyDescent="0.2">
      <c r="A31" s="38"/>
      <c r="B31" s="29"/>
      <c r="C31" s="29"/>
      <c r="D31" s="29"/>
      <c r="E31" s="29"/>
      <c r="F31" s="40"/>
      <c r="G31" s="40"/>
      <c r="H31" s="32"/>
    </row>
    <row r="32" spans="1:9" s="39" customFormat="1" x14ac:dyDescent="0.2">
      <c r="A32" s="38"/>
      <c r="B32" s="28"/>
      <c r="C32" s="41"/>
      <c r="D32" s="41"/>
      <c r="E32" s="41"/>
      <c r="F32" s="30"/>
      <c r="G32" s="30"/>
      <c r="H32" s="32"/>
    </row>
    <row r="33" spans="1:8" s="39" customFormat="1" x14ac:dyDescent="0.2">
      <c r="A33" s="38"/>
      <c r="B33" s="28"/>
      <c r="C33" s="41"/>
      <c r="D33" s="41"/>
      <c r="E33" s="41"/>
      <c r="F33" s="30"/>
      <c r="G33" s="30"/>
      <c r="H33" s="32"/>
    </row>
    <row r="34" spans="1:8" x14ac:dyDescent="0.25">
      <c r="A34" s="5"/>
      <c r="B34" s="28"/>
      <c r="C34" s="41"/>
      <c r="D34" s="41"/>
      <c r="E34" s="41"/>
      <c r="F34" s="30"/>
      <c r="G34" s="30"/>
    </row>
    <row r="35" spans="1:8" x14ac:dyDescent="0.25">
      <c r="A35" s="5"/>
      <c r="B35" s="28"/>
      <c r="C35" s="28"/>
      <c r="D35" s="28"/>
      <c r="E35" s="42"/>
      <c r="F35" s="30"/>
      <c r="G35" s="30"/>
    </row>
    <row r="36" spans="1:8" x14ac:dyDescent="0.25">
      <c r="A36" s="5"/>
      <c r="C36" s="43"/>
      <c r="D36" s="43"/>
      <c r="F36" s="7"/>
    </row>
    <row r="37" spans="1:8" x14ac:dyDescent="0.25">
      <c r="A37" s="5"/>
      <c r="C37" s="43"/>
      <c r="D37" s="43"/>
      <c r="F37" s="7"/>
    </row>
    <row r="38" spans="1:8" x14ac:dyDescent="0.25">
      <c r="A38" s="5"/>
      <c r="D38" s="12"/>
      <c r="F38" s="7"/>
    </row>
    <row r="39" spans="1:8" ht="15.75" thickBot="1" x14ac:dyDescent="0.3">
      <c r="A39" s="44"/>
      <c r="B39" s="45"/>
      <c r="C39" s="45"/>
      <c r="D39" s="46"/>
      <c r="E39" s="45"/>
      <c r="F39" s="47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7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zoomScale="92" zoomScaleNormal="100" zoomScaleSheetLayoutView="92" workbookViewId="0">
      <selection activeCell="H10" sqref="H10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D2" s="6"/>
      <c r="F2" s="7"/>
    </row>
    <row r="3" spans="1:6" ht="15.75" x14ac:dyDescent="0.25">
      <c r="A3" s="5"/>
      <c r="B3" s="71" t="s">
        <v>1</v>
      </c>
      <c r="C3" s="71"/>
      <c r="D3" s="71"/>
      <c r="E3" s="71"/>
      <c r="F3" s="7"/>
    </row>
    <row r="4" spans="1:6" x14ac:dyDescent="0.25">
      <c r="A4" s="5"/>
      <c r="B4" s="6"/>
      <c r="D4" s="8"/>
      <c r="F4" s="7"/>
    </row>
    <row r="5" spans="1:6" x14ac:dyDescent="0.25">
      <c r="A5" s="5"/>
      <c r="B5" s="72" t="s">
        <v>2</v>
      </c>
      <c r="C5" s="72"/>
      <c r="D5" s="72"/>
      <c r="E5" s="72"/>
      <c r="F5" s="9"/>
    </row>
    <row r="6" spans="1:6" x14ac:dyDescent="0.25">
      <c r="A6" s="5"/>
      <c r="E6" s="10"/>
      <c r="F6" s="11"/>
    </row>
    <row r="7" spans="1:6" x14ac:dyDescent="0.25">
      <c r="A7" s="73" t="s">
        <v>30</v>
      </c>
      <c r="B7" s="74"/>
      <c r="C7" s="74"/>
      <c r="D7" s="74"/>
      <c r="E7" s="74"/>
      <c r="F7" s="75"/>
    </row>
    <row r="8" spans="1:6" x14ac:dyDescent="0.25">
      <c r="A8" s="5"/>
      <c r="F8" s="11"/>
    </row>
    <row r="9" spans="1:6" x14ac:dyDescent="0.25">
      <c r="A9" s="5"/>
      <c r="F9" s="11"/>
    </row>
    <row r="10" spans="1:6" x14ac:dyDescent="0.25">
      <c r="A10" s="76" t="s">
        <v>31</v>
      </c>
      <c r="B10" s="77"/>
      <c r="C10" s="77"/>
      <c r="D10" s="77"/>
      <c r="E10" s="77"/>
      <c r="F10" s="78"/>
    </row>
    <row r="11" spans="1:6" ht="22.5" customHeight="1" x14ac:dyDescent="0.25">
      <c r="A11" s="5"/>
      <c r="F11" s="7"/>
    </row>
    <row r="12" spans="1:6" x14ac:dyDescent="0.25">
      <c r="A12" s="5"/>
      <c r="B12" s="10" t="s">
        <v>32</v>
      </c>
      <c r="D12" s="79" t="s">
        <v>33</v>
      </c>
      <c r="E12" s="79"/>
      <c r="F12" s="7"/>
    </row>
    <row r="13" spans="1:6" x14ac:dyDescent="0.25">
      <c r="A13" s="5"/>
      <c r="B13" s="13" t="s">
        <v>7</v>
      </c>
      <c r="D13" s="79" t="s">
        <v>18</v>
      </c>
      <c r="E13" s="79"/>
      <c r="F13" s="7"/>
    </row>
    <row r="14" spans="1:6" x14ac:dyDescent="0.25">
      <c r="A14" s="5"/>
      <c r="B14" s="10"/>
      <c r="D14" s="14"/>
      <c r="F14" s="7"/>
    </row>
    <row r="15" spans="1:6" x14ac:dyDescent="0.25">
      <c r="A15" s="5"/>
      <c r="B15" s="69" t="str">
        <f>+[4]FORTAMUN!B14:F14</f>
        <v>AL MES DE : MARZO DE 2026</v>
      </c>
      <c r="C15" s="69"/>
      <c r="D15" s="69"/>
      <c r="E15" s="69"/>
      <c r="F15" s="11"/>
    </row>
    <row r="16" spans="1:6" x14ac:dyDescent="0.25">
      <c r="A16" s="5"/>
      <c r="B16" s="15"/>
      <c r="C16" s="15"/>
      <c r="D16" s="15"/>
      <c r="E16" s="15"/>
      <c r="F16" s="7"/>
    </row>
    <row r="17" spans="1:9" s="20" customFormat="1" ht="28.5" customHeight="1" x14ac:dyDescent="0.25">
      <c r="A17" s="16"/>
      <c r="B17" s="17" t="s">
        <v>46</v>
      </c>
      <c r="C17" s="18" t="s">
        <v>10</v>
      </c>
      <c r="D17" s="17" t="s">
        <v>11</v>
      </c>
      <c r="E17" s="17" t="s">
        <v>12</v>
      </c>
      <c r="F17" s="19"/>
    </row>
    <row r="18" spans="1:9" ht="34.5" customHeight="1" x14ac:dyDescent="0.25">
      <c r="A18" s="5"/>
      <c r="B18" s="21"/>
      <c r="C18" s="22"/>
      <c r="D18" s="23"/>
      <c r="E18" s="24"/>
      <c r="F18" s="7"/>
    </row>
    <row r="19" spans="1:9" ht="34.5" customHeight="1" x14ac:dyDescent="0.25">
      <c r="A19" s="5"/>
      <c r="B19" s="21"/>
      <c r="C19" s="22"/>
      <c r="D19" s="23"/>
      <c r="E19" s="24"/>
      <c r="F19" s="7"/>
    </row>
    <row r="20" spans="1:9" ht="34.5" customHeight="1" x14ac:dyDescent="0.25">
      <c r="A20" s="5"/>
      <c r="B20" s="21"/>
      <c r="C20" s="22"/>
      <c r="D20" s="23"/>
      <c r="E20" s="24"/>
      <c r="F20" s="7"/>
    </row>
    <row r="21" spans="1:9" ht="18" customHeight="1" x14ac:dyDescent="0.25">
      <c r="A21" s="5"/>
      <c r="B21" s="70"/>
      <c r="C21" s="70"/>
      <c r="D21" s="17" t="s">
        <v>13</v>
      </c>
      <c r="E21" s="25">
        <f>SUM(E18:E20)</f>
        <v>0</v>
      </c>
      <c r="F21" s="7"/>
    </row>
    <row r="22" spans="1:9" x14ac:dyDescent="0.25">
      <c r="A22" s="5"/>
      <c r="F22" s="7"/>
    </row>
    <row r="23" spans="1:9" s="32" customFormat="1" x14ac:dyDescent="0.2">
      <c r="A23" s="26"/>
      <c r="B23" s="27"/>
      <c r="C23" s="28"/>
      <c r="D23" s="29"/>
      <c r="E23" s="27"/>
      <c r="F23" s="30"/>
      <c r="G23" s="35"/>
      <c r="I23" s="39"/>
    </row>
    <row r="24" spans="1:9" s="32" customFormat="1" x14ac:dyDescent="0.2">
      <c r="A24" s="26"/>
      <c r="B24" s="27"/>
      <c r="C24" s="28"/>
      <c r="D24" s="33"/>
      <c r="E24" s="33"/>
      <c r="F24" s="34"/>
      <c r="G24" s="35"/>
      <c r="I24" s="39"/>
    </row>
    <row r="25" spans="1:9" s="32" customFormat="1" x14ac:dyDescent="0.2">
      <c r="A25" s="26"/>
      <c r="B25" s="27"/>
      <c r="C25" s="28"/>
      <c r="D25" s="33"/>
      <c r="E25" s="33"/>
      <c r="F25" s="34"/>
      <c r="G25" s="35"/>
      <c r="I25" s="39"/>
    </row>
    <row r="26" spans="1:9" s="32" customFormat="1" x14ac:dyDescent="0.2">
      <c r="A26" s="26"/>
      <c r="B26" s="27"/>
      <c r="C26" s="27"/>
      <c r="D26" s="27"/>
      <c r="E26" s="27"/>
      <c r="F26" s="35"/>
      <c r="G26" s="35"/>
      <c r="I26" s="39"/>
    </row>
    <row r="27" spans="1:9" s="32" customFormat="1" x14ac:dyDescent="0.2">
      <c r="A27" s="26"/>
      <c r="B27" s="33"/>
      <c r="C27" s="33"/>
      <c r="D27" s="33"/>
      <c r="E27" s="33"/>
      <c r="F27" s="36"/>
      <c r="G27" s="36"/>
      <c r="I27" s="39"/>
    </row>
    <row r="28" spans="1:9" s="32" customFormat="1" x14ac:dyDescent="0.2">
      <c r="A28" s="26"/>
      <c r="B28" s="27"/>
      <c r="C28" s="37"/>
      <c r="D28" s="33"/>
      <c r="E28" s="33"/>
      <c r="F28" s="34"/>
      <c r="G28" s="35"/>
      <c r="I28" s="39"/>
    </row>
    <row r="29" spans="1:9" s="32" customFormat="1" ht="28.5" customHeight="1" x14ac:dyDescent="0.2">
      <c r="A29" s="26"/>
      <c r="B29" s="27"/>
      <c r="C29" s="37"/>
      <c r="D29" s="33"/>
      <c r="E29" s="33"/>
      <c r="F29" s="34"/>
      <c r="G29" s="35"/>
      <c r="I29" s="39"/>
    </row>
    <row r="30" spans="1:9" s="39" customFormat="1" x14ac:dyDescent="0.2">
      <c r="A30" s="38"/>
      <c r="B30" s="27"/>
      <c r="C30" s="37"/>
      <c r="D30" s="33"/>
      <c r="E30" s="33"/>
      <c r="F30" s="34"/>
      <c r="G30" s="35"/>
      <c r="H30" s="32"/>
    </row>
    <row r="31" spans="1:9" s="39" customFormat="1" ht="14.25" x14ac:dyDescent="0.2">
      <c r="A31" s="38"/>
      <c r="B31" s="29"/>
      <c r="C31" s="29"/>
      <c r="D31" s="29"/>
      <c r="E31" s="29"/>
      <c r="F31" s="40"/>
      <c r="G31" s="40"/>
      <c r="H31" s="32"/>
    </row>
    <row r="32" spans="1:9" s="39" customFormat="1" x14ac:dyDescent="0.2">
      <c r="A32" s="38"/>
      <c r="B32" s="28"/>
      <c r="C32" s="41"/>
      <c r="D32" s="41"/>
      <c r="E32" s="41"/>
      <c r="F32" s="30"/>
      <c r="G32" s="30"/>
      <c r="H32" s="32"/>
    </row>
    <row r="33" spans="1:8" s="39" customFormat="1" x14ac:dyDescent="0.2">
      <c r="A33" s="38"/>
      <c r="B33" s="28"/>
      <c r="C33" s="41"/>
      <c r="D33" s="41"/>
      <c r="E33" s="41"/>
      <c r="F33" s="30"/>
      <c r="G33" s="30"/>
      <c r="H33" s="32"/>
    </row>
    <row r="34" spans="1:8" x14ac:dyDescent="0.25">
      <c r="A34" s="5"/>
      <c r="B34" s="28"/>
      <c r="C34" s="41"/>
      <c r="D34" s="41"/>
      <c r="E34" s="41"/>
      <c r="F34" s="30"/>
      <c r="G34" s="30"/>
    </row>
    <row r="35" spans="1:8" x14ac:dyDescent="0.25">
      <c r="A35" s="5"/>
      <c r="B35" s="28"/>
      <c r="C35" s="28"/>
      <c r="D35" s="28"/>
      <c r="E35" s="42"/>
      <c r="F35" s="30"/>
      <c r="G35" s="30"/>
    </row>
    <row r="36" spans="1:8" x14ac:dyDescent="0.25">
      <c r="A36" s="5"/>
      <c r="C36" s="43"/>
      <c r="D36" s="43"/>
      <c r="F36" s="7"/>
    </row>
    <row r="37" spans="1:8" x14ac:dyDescent="0.25">
      <c r="A37" s="5"/>
      <c r="C37" s="43"/>
      <c r="D37" s="43"/>
      <c r="F37" s="7"/>
    </row>
    <row r="38" spans="1:8" x14ac:dyDescent="0.25">
      <c r="A38" s="5"/>
      <c r="D38" s="12"/>
      <c r="F38" s="7"/>
    </row>
    <row r="39" spans="1:8" ht="15.75" thickBot="1" x14ac:dyDescent="0.3">
      <c r="A39" s="44"/>
      <c r="B39" s="45"/>
      <c r="C39" s="45"/>
      <c r="D39" s="46"/>
      <c r="E39" s="45"/>
      <c r="F39" s="47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view="pageBreakPreview" topLeftCell="A2" zoomScale="96" zoomScaleNormal="100" zoomScaleSheetLayoutView="96" workbookViewId="0">
      <selection activeCell="D16" sqref="D16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  <col min="7" max="7" width="32.425781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B2" s="49"/>
      <c r="C2" s="49"/>
      <c r="D2" s="50"/>
      <c r="E2" s="49"/>
      <c r="F2" s="7"/>
    </row>
    <row r="3" spans="1:6" ht="15.75" x14ac:dyDescent="0.25">
      <c r="A3" s="5"/>
      <c r="B3" s="81" t="s">
        <v>1</v>
      </c>
      <c r="C3" s="81"/>
      <c r="D3" s="81"/>
      <c r="E3" s="81"/>
      <c r="F3" s="7"/>
    </row>
    <row r="4" spans="1:6" x14ac:dyDescent="0.25">
      <c r="A4" s="5"/>
      <c r="B4" s="50"/>
      <c r="C4" s="49"/>
      <c r="D4" s="51"/>
      <c r="E4" s="49"/>
      <c r="F4" s="7"/>
    </row>
    <row r="5" spans="1:6" x14ac:dyDescent="0.25">
      <c r="A5" s="5"/>
      <c r="B5" s="82" t="s">
        <v>2</v>
      </c>
      <c r="C5" s="82"/>
      <c r="D5" s="82"/>
      <c r="E5" s="82"/>
      <c r="F5" s="9"/>
    </row>
    <row r="6" spans="1:6" x14ac:dyDescent="0.25">
      <c r="A6" s="5"/>
      <c r="B6" s="49"/>
      <c r="C6" s="49"/>
      <c r="D6" s="49"/>
      <c r="E6" s="52"/>
      <c r="F6" s="11"/>
    </row>
    <row r="7" spans="1:6" x14ac:dyDescent="0.25">
      <c r="A7" s="73" t="s">
        <v>19</v>
      </c>
      <c r="B7" s="83"/>
      <c r="C7" s="83"/>
      <c r="D7" s="83"/>
      <c r="E7" s="83"/>
      <c r="F7" s="75"/>
    </row>
    <row r="8" spans="1:6" x14ac:dyDescent="0.25">
      <c r="A8" s="5"/>
      <c r="B8" s="49"/>
      <c r="C8" s="49"/>
      <c r="D8" s="49"/>
      <c r="E8" s="49"/>
      <c r="F8" s="11"/>
    </row>
    <row r="9" spans="1:6" x14ac:dyDescent="0.25">
      <c r="A9" s="5"/>
      <c r="B9" s="49"/>
      <c r="C9" s="49"/>
      <c r="D9" s="49"/>
      <c r="E9" s="49"/>
      <c r="F9" s="11"/>
    </row>
    <row r="10" spans="1:6" x14ac:dyDescent="0.25">
      <c r="A10" s="76" t="s">
        <v>20</v>
      </c>
      <c r="B10" s="84"/>
      <c r="C10" s="84"/>
      <c r="D10" s="84"/>
      <c r="E10" s="84"/>
      <c r="F10" s="78"/>
    </row>
    <row r="11" spans="1:6" ht="22.5" customHeight="1" x14ac:dyDescent="0.25">
      <c r="A11" s="5"/>
      <c r="B11" s="49"/>
      <c r="C11" s="49"/>
      <c r="D11" s="49"/>
      <c r="E11" s="49"/>
      <c r="F11" s="7"/>
    </row>
    <row r="12" spans="1:6" x14ac:dyDescent="0.25">
      <c r="A12" s="5"/>
      <c r="B12" s="52" t="s">
        <v>21</v>
      </c>
      <c r="C12" s="49"/>
      <c r="D12" s="85" t="s">
        <v>22</v>
      </c>
      <c r="E12" s="85"/>
      <c r="F12" s="7"/>
    </row>
    <row r="13" spans="1:6" x14ac:dyDescent="0.25">
      <c r="A13" s="5"/>
      <c r="B13" s="54" t="s">
        <v>23</v>
      </c>
      <c r="C13" s="49"/>
      <c r="D13" s="85" t="s">
        <v>24</v>
      </c>
      <c r="E13" s="85"/>
      <c r="F13" s="7"/>
    </row>
    <row r="14" spans="1:6" x14ac:dyDescent="0.25">
      <c r="A14" s="5"/>
      <c r="B14" s="52"/>
      <c r="C14" s="49"/>
      <c r="D14" s="55"/>
      <c r="E14" s="49"/>
      <c r="F14" s="7"/>
    </row>
    <row r="15" spans="1:6" x14ac:dyDescent="0.25">
      <c r="A15" s="5"/>
      <c r="B15" s="80" t="str">
        <f>+[5]FAISMUN!B14:F14</f>
        <v>AL MES DE : MARZO DE 2026</v>
      </c>
      <c r="C15" s="80"/>
      <c r="D15" s="80"/>
      <c r="E15" s="80"/>
      <c r="F15" s="11"/>
    </row>
    <row r="16" spans="1:6" x14ac:dyDescent="0.25">
      <c r="A16" s="5"/>
      <c r="B16" s="56"/>
      <c r="C16" s="56"/>
      <c r="D16" s="56"/>
      <c r="E16" s="56"/>
      <c r="F16" s="7"/>
    </row>
    <row r="17" spans="1:9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</row>
    <row r="18" spans="1:9" ht="34.5" customHeight="1" x14ac:dyDescent="0.25">
      <c r="A18" s="5"/>
      <c r="B18" s="21">
        <v>46112</v>
      </c>
      <c r="C18" s="22" t="s">
        <v>47</v>
      </c>
      <c r="D18" s="23" t="s">
        <v>48</v>
      </c>
      <c r="E18" s="24">
        <v>1469936</v>
      </c>
      <c r="F18" s="7"/>
    </row>
    <row r="19" spans="1:9" ht="34.5" customHeight="1" x14ac:dyDescent="0.25">
      <c r="A19" s="5"/>
      <c r="B19" s="21"/>
      <c r="C19" s="22"/>
      <c r="D19" s="23"/>
      <c r="E19" s="24"/>
      <c r="F19" s="7"/>
    </row>
    <row r="20" spans="1:9" ht="34.5" customHeight="1" x14ac:dyDescent="0.25">
      <c r="A20" s="5"/>
      <c r="B20" s="21"/>
      <c r="C20" s="22"/>
      <c r="D20" s="23"/>
      <c r="E20" s="24"/>
      <c r="F20" s="7"/>
    </row>
    <row r="21" spans="1:9" ht="18" customHeight="1" x14ac:dyDescent="0.25">
      <c r="A21" s="5"/>
      <c r="B21" s="70"/>
      <c r="C21" s="70"/>
      <c r="D21" s="17" t="s">
        <v>13</v>
      </c>
      <c r="E21" s="25">
        <f>SUM(E18:E20)</f>
        <v>1469936</v>
      </c>
      <c r="F21" s="7"/>
    </row>
    <row r="22" spans="1:9" x14ac:dyDescent="0.25">
      <c r="A22" s="5"/>
      <c r="B22" s="49"/>
      <c r="C22" s="49"/>
      <c r="D22" s="49"/>
      <c r="E22" s="49"/>
      <c r="F22" s="7"/>
    </row>
    <row r="23" spans="1:9" s="32" customFormat="1" x14ac:dyDescent="0.2">
      <c r="A23" s="26"/>
      <c r="B23" s="57"/>
      <c r="C23" s="58"/>
      <c r="D23" s="59"/>
      <c r="E23" s="57"/>
      <c r="F23" s="30"/>
      <c r="G23" s="35"/>
      <c r="I23" s="39"/>
    </row>
    <row r="24" spans="1:9" s="32" customFormat="1" x14ac:dyDescent="0.2">
      <c r="A24" s="26"/>
      <c r="B24" s="57"/>
      <c r="C24" s="58"/>
      <c r="D24" s="60"/>
      <c r="E24" s="60"/>
      <c r="F24" s="34"/>
      <c r="G24" s="35"/>
      <c r="I24" s="39"/>
    </row>
    <row r="25" spans="1:9" s="32" customFormat="1" x14ac:dyDescent="0.2">
      <c r="A25" s="26"/>
      <c r="B25" s="57"/>
      <c r="C25" s="58"/>
      <c r="D25" s="60"/>
      <c r="E25" s="60"/>
      <c r="F25" s="34"/>
      <c r="G25" s="35" t="s">
        <v>49</v>
      </c>
      <c r="I25" s="39"/>
    </row>
    <row r="26" spans="1:9" s="32" customFormat="1" x14ac:dyDescent="0.2">
      <c r="A26" s="26"/>
      <c r="B26" s="57"/>
      <c r="C26" s="57"/>
      <c r="D26" s="57"/>
      <c r="E26" s="57"/>
      <c r="F26" s="35"/>
      <c r="G26" s="35"/>
      <c r="I26" s="39"/>
    </row>
    <row r="27" spans="1:9" s="32" customFormat="1" x14ac:dyDescent="0.2">
      <c r="A27" s="26"/>
      <c r="B27" s="60"/>
      <c r="C27" s="60"/>
      <c r="D27" s="60"/>
      <c r="E27" s="60"/>
      <c r="F27" s="36"/>
      <c r="G27" s="36"/>
      <c r="I27" s="39"/>
    </row>
    <row r="28" spans="1:9" s="32" customFormat="1" x14ac:dyDescent="0.2">
      <c r="A28" s="26"/>
      <c r="B28" s="57"/>
      <c r="C28" s="61"/>
      <c r="D28" s="60"/>
      <c r="E28" s="60"/>
      <c r="F28" s="34"/>
      <c r="G28" s="35"/>
      <c r="I28" s="39"/>
    </row>
    <row r="29" spans="1:9" s="32" customFormat="1" ht="28.5" customHeight="1" x14ac:dyDescent="0.2">
      <c r="A29" s="26"/>
      <c r="B29" s="57"/>
      <c r="C29" s="61"/>
      <c r="D29" s="60"/>
      <c r="E29" s="60"/>
      <c r="F29" s="34"/>
      <c r="G29" s="35"/>
      <c r="I29" s="39"/>
    </row>
    <row r="30" spans="1:9" s="39" customFormat="1" x14ac:dyDescent="0.2">
      <c r="A30" s="38"/>
      <c r="B30" s="57"/>
      <c r="C30" s="61"/>
      <c r="D30" s="60"/>
      <c r="E30" s="60"/>
      <c r="F30" s="34"/>
      <c r="G30" s="35"/>
      <c r="H30" s="32"/>
    </row>
    <row r="31" spans="1:9" s="39" customFormat="1" x14ac:dyDescent="0.2">
      <c r="A31" s="38"/>
      <c r="B31" s="57"/>
      <c r="C31" s="61"/>
      <c r="D31" s="60"/>
      <c r="E31" s="60"/>
      <c r="F31" s="34"/>
      <c r="G31" s="35"/>
      <c r="H31" s="32"/>
    </row>
    <row r="32" spans="1:9" s="39" customFormat="1" x14ac:dyDescent="0.2">
      <c r="A32" s="38"/>
      <c r="B32" s="57"/>
      <c r="C32" s="61"/>
      <c r="D32" s="60"/>
      <c r="E32" s="60"/>
      <c r="F32" s="34"/>
      <c r="G32" s="35"/>
      <c r="H32" s="32"/>
    </row>
    <row r="33" spans="1:8" s="39" customFormat="1" x14ac:dyDescent="0.2">
      <c r="A33" s="38"/>
      <c r="B33" s="57"/>
      <c r="C33" s="61"/>
      <c r="D33" s="60"/>
      <c r="E33" s="60"/>
      <c r="F33" s="34"/>
      <c r="G33" s="35"/>
      <c r="H33" s="32"/>
    </row>
    <row r="34" spans="1:8" s="39" customFormat="1" x14ac:dyDescent="0.2">
      <c r="A34" s="38"/>
      <c r="B34" s="57"/>
      <c r="C34" s="61"/>
      <c r="D34" s="60"/>
      <c r="E34" s="60"/>
      <c r="F34" s="34"/>
      <c r="G34" s="35"/>
      <c r="H34" s="32"/>
    </row>
    <row r="35" spans="1:8" s="39" customFormat="1" ht="14.25" x14ac:dyDescent="0.2">
      <c r="A35" s="38"/>
      <c r="B35" s="59"/>
      <c r="C35" s="59"/>
      <c r="D35" s="59"/>
      <c r="E35" s="59"/>
      <c r="F35" s="40"/>
      <c r="G35" s="40"/>
      <c r="H35" s="32"/>
    </row>
    <row r="36" spans="1:8" s="39" customFormat="1" x14ac:dyDescent="0.2">
      <c r="A36" s="38"/>
      <c r="B36" s="58"/>
      <c r="C36" s="62"/>
      <c r="D36" s="62"/>
      <c r="E36" s="62"/>
      <c r="F36" s="30"/>
      <c r="G36" s="30"/>
      <c r="H36" s="32"/>
    </row>
    <row r="37" spans="1:8" s="39" customFormat="1" x14ac:dyDescent="0.2">
      <c r="A37" s="38"/>
      <c r="B37" s="58"/>
      <c r="C37" s="62"/>
      <c r="D37" s="62"/>
      <c r="E37" s="62"/>
      <c r="F37" s="30"/>
      <c r="G37" s="30"/>
      <c r="H37" s="32"/>
    </row>
    <row r="38" spans="1:8" x14ac:dyDescent="0.25">
      <c r="A38" s="5"/>
      <c r="B38" s="58"/>
      <c r="C38" s="62"/>
      <c r="D38" s="62"/>
      <c r="E38" s="62"/>
      <c r="F38" s="30"/>
      <c r="G38" s="30"/>
    </row>
    <row r="39" spans="1:8" x14ac:dyDescent="0.25">
      <c r="A39" s="5"/>
      <c r="B39" s="58"/>
      <c r="C39" s="58"/>
      <c r="D39" s="58"/>
      <c r="E39" s="63"/>
      <c r="F39" s="30"/>
      <c r="G39" s="30"/>
    </row>
    <row r="40" spans="1:8" x14ac:dyDescent="0.25">
      <c r="A40" s="5"/>
      <c r="B40" s="49"/>
      <c r="C40" s="64"/>
      <c r="D40" s="64"/>
      <c r="E40" s="49"/>
      <c r="F40" s="7"/>
    </row>
    <row r="41" spans="1:8" x14ac:dyDescent="0.25">
      <c r="A41" s="5"/>
      <c r="B41" s="49"/>
      <c r="C41" s="64"/>
      <c r="D41" s="64"/>
      <c r="E41" s="49"/>
      <c r="F41" s="7"/>
    </row>
    <row r="42" spans="1:8" x14ac:dyDescent="0.25">
      <c r="A42" s="5"/>
      <c r="B42" s="49"/>
      <c r="C42" s="49"/>
      <c r="D42" s="65"/>
      <c r="E42" s="49"/>
      <c r="F42" s="7"/>
    </row>
    <row r="43" spans="1:8" ht="15.75" thickBot="1" x14ac:dyDescent="0.3">
      <c r="A43" s="44"/>
      <c r="B43" s="45"/>
      <c r="C43" s="45"/>
      <c r="D43" s="46"/>
      <c r="E43" s="45"/>
      <c r="F43" s="47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7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view="pageBreakPreview" zoomScale="91" zoomScaleNormal="100" zoomScaleSheetLayoutView="91" workbookViewId="0">
      <selection activeCell="D13" sqref="D13:E13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  <col min="7" max="7" width="30.57031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B2" s="49"/>
      <c r="C2" s="49"/>
      <c r="D2" s="50"/>
      <c r="E2" s="49"/>
      <c r="F2" s="7"/>
    </row>
    <row r="3" spans="1:6" ht="15.75" x14ac:dyDescent="0.25">
      <c r="A3" s="5"/>
      <c r="B3" s="81" t="s">
        <v>1</v>
      </c>
      <c r="C3" s="81"/>
      <c r="D3" s="81"/>
      <c r="E3" s="81"/>
      <c r="F3" s="7"/>
    </row>
    <row r="4" spans="1:6" x14ac:dyDescent="0.25">
      <c r="A4" s="5"/>
      <c r="B4" s="50"/>
      <c r="C4" s="49"/>
      <c r="D4" s="51"/>
      <c r="E4" s="49"/>
      <c r="F4" s="7"/>
    </row>
    <row r="5" spans="1:6" x14ac:dyDescent="0.25">
      <c r="A5" s="5"/>
      <c r="B5" s="82" t="s">
        <v>2</v>
      </c>
      <c r="C5" s="82"/>
      <c r="D5" s="82"/>
      <c r="E5" s="82"/>
      <c r="F5" s="9"/>
    </row>
    <row r="6" spans="1:6" x14ac:dyDescent="0.25">
      <c r="A6" s="5"/>
      <c r="B6" s="49"/>
      <c r="C6" s="49"/>
      <c r="D6" s="49"/>
      <c r="E6" s="52"/>
      <c r="F6" s="11"/>
    </row>
    <row r="7" spans="1:6" x14ac:dyDescent="0.25">
      <c r="A7" s="73" t="s">
        <v>34</v>
      </c>
      <c r="B7" s="83"/>
      <c r="C7" s="83"/>
      <c r="D7" s="83"/>
      <c r="E7" s="83"/>
      <c r="F7" s="75"/>
    </row>
    <row r="8" spans="1:6" x14ac:dyDescent="0.25">
      <c r="A8" s="5"/>
      <c r="B8" s="49"/>
      <c r="C8" s="49"/>
      <c r="D8" s="49"/>
      <c r="E8" s="49"/>
      <c r="F8" s="11"/>
    </row>
    <row r="9" spans="1:6" x14ac:dyDescent="0.25">
      <c r="A9" s="5"/>
      <c r="B9" s="49"/>
      <c r="C9" s="49"/>
      <c r="D9" s="49"/>
      <c r="E9" s="49"/>
      <c r="F9" s="11"/>
    </row>
    <row r="10" spans="1:6" x14ac:dyDescent="0.25">
      <c r="A10" s="76" t="s">
        <v>35</v>
      </c>
      <c r="B10" s="84"/>
      <c r="C10" s="84"/>
      <c r="D10" s="84"/>
      <c r="E10" s="84"/>
      <c r="F10" s="78"/>
    </row>
    <row r="11" spans="1:6" ht="22.5" customHeight="1" x14ac:dyDescent="0.25">
      <c r="A11" s="5"/>
      <c r="B11" s="49"/>
      <c r="C11" s="49"/>
      <c r="D11" s="49"/>
      <c r="E11" s="49"/>
      <c r="F11" s="7"/>
    </row>
    <row r="12" spans="1:6" x14ac:dyDescent="0.25">
      <c r="A12" s="5"/>
      <c r="B12" s="52" t="s">
        <v>36</v>
      </c>
      <c r="C12" s="49"/>
      <c r="D12" s="85" t="s">
        <v>37</v>
      </c>
      <c r="E12" s="85"/>
      <c r="F12" s="7"/>
    </row>
    <row r="13" spans="1:6" x14ac:dyDescent="0.25">
      <c r="A13" s="5"/>
      <c r="B13" s="54" t="s">
        <v>23</v>
      </c>
      <c r="C13" s="49"/>
      <c r="D13" s="85" t="s">
        <v>29</v>
      </c>
      <c r="E13" s="85"/>
      <c r="F13" s="7"/>
    </row>
    <row r="14" spans="1:6" x14ac:dyDescent="0.25">
      <c r="A14" s="5"/>
      <c r="B14" s="52"/>
      <c r="C14" s="49"/>
      <c r="D14" s="55"/>
      <c r="E14" s="49"/>
      <c r="F14" s="7"/>
    </row>
    <row r="15" spans="1:6" x14ac:dyDescent="0.25">
      <c r="A15" s="5"/>
      <c r="B15" s="80" t="str">
        <f>+[6]FORTAMUN!B14:F14</f>
        <v>AL MES DE : MARZO DE 2026</v>
      </c>
      <c r="C15" s="80"/>
      <c r="D15" s="80"/>
      <c r="E15" s="80"/>
      <c r="F15" s="11"/>
    </row>
    <row r="16" spans="1:6" x14ac:dyDescent="0.25">
      <c r="A16" s="5"/>
      <c r="B16" s="56"/>
      <c r="C16" s="56"/>
      <c r="D16" s="56"/>
      <c r="E16" s="56"/>
      <c r="F16" s="7"/>
    </row>
    <row r="17" spans="1:9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  <c r="G17" s="48"/>
    </row>
    <row r="18" spans="1:9" ht="34.5" customHeight="1" x14ac:dyDescent="0.25">
      <c r="A18" s="5"/>
      <c r="B18" s="21">
        <v>46112</v>
      </c>
      <c r="C18" s="22" t="s">
        <v>47</v>
      </c>
      <c r="D18" s="23" t="s">
        <v>50</v>
      </c>
      <c r="E18" s="24">
        <v>839953</v>
      </c>
      <c r="F18" s="7"/>
    </row>
    <row r="19" spans="1:9" ht="34.5" customHeight="1" x14ac:dyDescent="0.25">
      <c r="A19" s="5"/>
      <c r="B19" s="21"/>
      <c r="C19" s="22"/>
      <c r="D19" s="23"/>
      <c r="E19" s="24"/>
      <c r="F19" s="7"/>
    </row>
    <row r="20" spans="1:9" ht="34.5" customHeight="1" x14ac:dyDescent="0.25">
      <c r="A20" s="5"/>
      <c r="B20" s="21"/>
      <c r="C20" s="22"/>
      <c r="D20" s="23"/>
      <c r="E20" s="24"/>
      <c r="F20" s="7"/>
    </row>
    <row r="21" spans="1:9" ht="18" customHeight="1" x14ac:dyDescent="0.25">
      <c r="A21" s="5"/>
      <c r="B21" s="70"/>
      <c r="C21" s="70"/>
      <c r="D21" s="17" t="s">
        <v>13</v>
      </c>
      <c r="E21" s="25">
        <f>SUM(E18:E20)</f>
        <v>839953</v>
      </c>
      <c r="F21" s="7"/>
    </row>
    <row r="22" spans="1:9" x14ac:dyDescent="0.25">
      <c r="A22" s="5"/>
      <c r="B22" s="49"/>
      <c r="C22" s="49"/>
      <c r="D22" s="49"/>
      <c r="E22" s="49"/>
      <c r="F22" s="7"/>
    </row>
    <row r="23" spans="1:9" s="32" customFormat="1" x14ac:dyDescent="0.2">
      <c r="A23" s="26"/>
      <c r="B23" s="57"/>
      <c r="C23" s="58"/>
      <c r="D23" s="59"/>
      <c r="E23" s="57"/>
      <c r="F23" s="30"/>
      <c r="G23" s="57"/>
      <c r="H23" s="66"/>
      <c r="I23" s="39"/>
    </row>
    <row r="24" spans="1:9" s="32" customFormat="1" x14ac:dyDescent="0.2">
      <c r="A24" s="26"/>
      <c r="B24" s="57"/>
      <c r="C24" s="58"/>
      <c r="D24" s="60"/>
      <c r="E24" s="60"/>
      <c r="F24" s="34"/>
      <c r="G24" s="57"/>
      <c r="H24" s="66"/>
      <c r="I24" s="39"/>
    </row>
    <row r="25" spans="1:9" s="32" customFormat="1" x14ac:dyDescent="0.2">
      <c r="A25" s="26"/>
      <c r="B25" s="57"/>
      <c r="C25" s="58"/>
      <c r="D25" s="60"/>
      <c r="E25" s="60"/>
      <c r="F25" s="34"/>
      <c r="G25" s="57"/>
      <c r="H25" s="66"/>
      <c r="I25" s="39"/>
    </row>
    <row r="26" spans="1:9" s="32" customFormat="1" x14ac:dyDescent="0.2">
      <c r="A26" s="26"/>
      <c r="B26" s="57"/>
      <c r="C26" s="57"/>
      <c r="D26" s="57"/>
      <c r="E26" s="57"/>
      <c r="F26" s="35"/>
      <c r="G26" s="57"/>
      <c r="H26" s="66"/>
      <c r="I26" s="39"/>
    </row>
    <row r="27" spans="1:9" s="32" customFormat="1" x14ac:dyDescent="0.2">
      <c r="A27" s="26"/>
      <c r="B27" s="60"/>
      <c r="C27" s="60"/>
      <c r="D27" s="60"/>
      <c r="E27" s="60"/>
      <c r="F27" s="36"/>
      <c r="G27" s="60"/>
      <c r="H27" s="66"/>
      <c r="I27" s="39"/>
    </row>
    <row r="28" spans="1:9" s="32" customFormat="1" x14ac:dyDescent="0.2">
      <c r="A28" s="26"/>
      <c r="B28" s="57"/>
      <c r="C28" s="61"/>
      <c r="D28" s="60"/>
      <c r="E28" s="60"/>
      <c r="F28" s="34"/>
      <c r="G28" s="57"/>
      <c r="H28" s="66"/>
      <c r="I28" s="39"/>
    </row>
    <row r="29" spans="1:9" s="32" customFormat="1" ht="28.5" customHeight="1" x14ac:dyDescent="0.2">
      <c r="A29" s="26"/>
      <c r="B29" s="57"/>
      <c r="C29" s="61"/>
      <c r="D29" s="60"/>
      <c r="E29" s="60"/>
      <c r="F29" s="34"/>
      <c r="G29" s="57"/>
      <c r="H29" s="66"/>
      <c r="I29" s="39"/>
    </row>
    <row r="30" spans="1:9" s="32" customFormat="1" ht="22.5" customHeight="1" x14ac:dyDescent="0.2">
      <c r="A30" s="26"/>
      <c r="B30" s="57"/>
      <c r="C30" s="61"/>
      <c r="D30" s="60"/>
      <c r="E30" s="60"/>
      <c r="F30" s="34"/>
      <c r="G30" s="57"/>
      <c r="H30" s="66"/>
      <c r="I30" s="39"/>
    </row>
    <row r="31" spans="1:9" s="32" customFormat="1" ht="22.5" customHeight="1" x14ac:dyDescent="0.2">
      <c r="A31" s="26"/>
      <c r="B31" s="57"/>
      <c r="C31" s="61"/>
      <c r="D31" s="60"/>
      <c r="E31" s="60"/>
      <c r="F31" s="34"/>
      <c r="G31" s="57"/>
      <c r="H31" s="66"/>
      <c r="I31" s="39"/>
    </row>
    <row r="32" spans="1:9" s="32" customFormat="1" ht="22.5" customHeight="1" x14ac:dyDescent="0.2">
      <c r="A32" s="26"/>
      <c r="B32" s="57"/>
      <c r="C32" s="61"/>
      <c r="D32" s="60"/>
      <c r="E32" s="60"/>
      <c r="F32" s="34"/>
      <c r="G32" s="57"/>
      <c r="H32" s="66"/>
      <c r="I32" s="39"/>
    </row>
    <row r="33" spans="1:9" s="32" customFormat="1" ht="22.5" customHeight="1" x14ac:dyDescent="0.2">
      <c r="A33" s="26"/>
      <c r="B33" s="57"/>
      <c r="C33" s="61"/>
      <c r="D33" s="60"/>
      <c r="E33" s="60"/>
      <c r="F33" s="34"/>
      <c r="G33" s="57"/>
      <c r="H33" s="66"/>
      <c r="I33" s="39"/>
    </row>
    <row r="34" spans="1:9" s="32" customFormat="1" ht="22.5" customHeight="1" x14ac:dyDescent="0.2">
      <c r="A34" s="26"/>
      <c r="B34" s="57"/>
      <c r="C34" s="61"/>
      <c r="D34" s="60"/>
      <c r="E34" s="60"/>
      <c r="F34" s="34"/>
      <c r="G34" s="57"/>
      <c r="H34" s="66"/>
      <c r="I34" s="39"/>
    </row>
    <row r="35" spans="1:9" s="39" customFormat="1" x14ac:dyDescent="0.2">
      <c r="A35" s="38"/>
      <c r="B35" s="57"/>
      <c r="C35" s="61"/>
      <c r="D35" s="60"/>
      <c r="E35" s="60"/>
      <c r="F35" s="34"/>
      <c r="G35" s="57"/>
      <c r="H35" s="66"/>
    </row>
    <row r="36" spans="1:9" s="39" customFormat="1" ht="14.25" x14ac:dyDescent="0.2">
      <c r="A36" s="38"/>
      <c r="B36" s="59"/>
      <c r="C36" s="59"/>
      <c r="D36" s="59"/>
      <c r="E36" s="59"/>
      <c r="F36" s="40"/>
      <c r="G36" s="59"/>
      <c r="H36" s="66"/>
    </row>
    <row r="37" spans="1:9" s="39" customFormat="1" x14ac:dyDescent="0.2">
      <c r="A37" s="38"/>
      <c r="B37" s="58"/>
      <c r="C37" s="62"/>
      <c r="D37" s="62"/>
      <c r="E37" s="62"/>
      <c r="F37" s="30"/>
      <c r="G37" s="58"/>
      <c r="H37" s="66"/>
    </row>
    <row r="38" spans="1:9" s="39" customFormat="1" x14ac:dyDescent="0.2">
      <c r="A38" s="38"/>
      <c r="B38" s="58"/>
      <c r="C38" s="62"/>
      <c r="D38" s="62"/>
      <c r="E38" s="62"/>
      <c r="F38" s="30"/>
      <c r="G38" s="58"/>
      <c r="H38" s="66"/>
    </row>
    <row r="39" spans="1:9" x14ac:dyDescent="0.25">
      <c r="A39" s="5"/>
      <c r="B39" s="58"/>
      <c r="C39" s="62"/>
      <c r="D39" s="62"/>
      <c r="E39" s="62"/>
      <c r="F39" s="30"/>
      <c r="G39" s="58"/>
      <c r="H39" s="49"/>
    </row>
    <row r="40" spans="1:9" x14ac:dyDescent="0.25">
      <c r="A40" s="5"/>
      <c r="B40" s="58"/>
      <c r="C40" s="58"/>
      <c r="D40" s="58"/>
      <c r="E40" s="63"/>
      <c r="F40" s="30"/>
      <c r="G40" s="58"/>
      <c r="H40" s="49"/>
    </row>
    <row r="41" spans="1:9" x14ac:dyDescent="0.25">
      <c r="A41" s="5"/>
      <c r="B41" s="49"/>
      <c r="C41" s="64"/>
      <c r="D41" s="64"/>
      <c r="E41" s="49"/>
      <c r="F41" s="7"/>
      <c r="H41" s="49"/>
    </row>
    <row r="42" spans="1:9" x14ac:dyDescent="0.25">
      <c r="A42" s="5"/>
      <c r="B42" s="49"/>
      <c r="C42" s="64"/>
      <c r="D42" s="64"/>
      <c r="E42" s="49"/>
      <c r="F42" s="7"/>
      <c r="H42" s="49"/>
    </row>
    <row r="43" spans="1:9" x14ac:dyDescent="0.25">
      <c r="A43" s="5"/>
      <c r="B43" s="49"/>
      <c r="C43" s="49"/>
      <c r="D43" s="65"/>
      <c r="E43" s="49"/>
      <c r="F43" s="7"/>
      <c r="H43" s="49"/>
    </row>
    <row r="44" spans="1:9" ht="15.75" thickBot="1" x14ac:dyDescent="0.3">
      <c r="A44" s="44"/>
      <c r="B44" s="45"/>
      <c r="C44" s="45"/>
      <c r="D44" s="46"/>
      <c r="E44" s="45"/>
      <c r="F44" s="47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view="pageBreakPreview" zoomScale="86" zoomScaleNormal="100" zoomScaleSheetLayoutView="86" workbookViewId="0">
      <selection activeCell="E19" sqref="E19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7.85546875" bestFit="1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B2" s="49"/>
      <c r="C2" s="49"/>
      <c r="D2" s="50"/>
      <c r="E2" s="49"/>
      <c r="F2" s="7"/>
    </row>
    <row r="3" spans="1:6" ht="15.75" x14ac:dyDescent="0.25">
      <c r="A3" s="5"/>
      <c r="B3" s="81" t="s">
        <v>1</v>
      </c>
      <c r="C3" s="81"/>
      <c r="D3" s="81"/>
      <c r="E3" s="81"/>
      <c r="F3" s="7"/>
    </row>
    <row r="4" spans="1:6" x14ac:dyDescent="0.25">
      <c r="A4" s="5"/>
      <c r="B4" s="50"/>
      <c r="C4" s="49"/>
      <c r="D4" s="51"/>
      <c r="E4" s="49"/>
      <c r="F4" s="7"/>
    </row>
    <row r="5" spans="1:6" x14ac:dyDescent="0.25">
      <c r="A5" s="5"/>
      <c r="B5" s="82" t="s">
        <v>2</v>
      </c>
      <c r="C5" s="82"/>
      <c r="D5" s="82"/>
      <c r="E5" s="82"/>
      <c r="F5" s="9"/>
    </row>
    <row r="6" spans="1:6" x14ac:dyDescent="0.25">
      <c r="A6" s="5"/>
      <c r="B6" s="49"/>
      <c r="C6" s="49"/>
      <c r="D6" s="49"/>
      <c r="E6" s="52"/>
      <c r="F6" s="11"/>
    </row>
    <row r="7" spans="1:6" x14ac:dyDescent="0.25">
      <c r="A7" s="73" t="s">
        <v>42</v>
      </c>
      <c r="B7" s="83"/>
      <c r="C7" s="83"/>
      <c r="D7" s="83"/>
      <c r="E7" s="83"/>
      <c r="F7" s="75"/>
    </row>
    <row r="8" spans="1:6" x14ac:dyDescent="0.25">
      <c r="A8" s="5"/>
      <c r="B8" s="49"/>
      <c r="C8" s="49"/>
      <c r="D8" s="49"/>
      <c r="E8" s="49"/>
      <c r="F8" s="11"/>
    </row>
    <row r="9" spans="1:6" x14ac:dyDescent="0.25">
      <c r="A9" s="5"/>
      <c r="B9" s="49"/>
      <c r="C9" s="49"/>
      <c r="D9" s="49"/>
      <c r="E9" s="49"/>
      <c r="F9" s="11"/>
    </row>
    <row r="10" spans="1:6" x14ac:dyDescent="0.25">
      <c r="A10" s="76" t="s">
        <v>43</v>
      </c>
      <c r="B10" s="84"/>
      <c r="C10" s="84"/>
      <c r="D10" s="84"/>
      <c r="E10" s="84"/>
      <c r="F10" s="78"/>
    </row>
    <row r="11" spans="1:6" ht="22.5" customHeight="1" x14ac:dyDescent="0.25">
      <c r="A11" s="5"/>
      <c r="B11" s="49"/>
      <c r="C11" s="49"/>
      <c r="D11" s="49"/>
      <c r="E11" s="49"/>
      <c r="F11" s="7"/>
    </row>
    <row r="12" spans="1:6" x14ac:dyDescent="0.25">
      <c r="A12" s="5"/>
      <c r="B12" s="52" t="s">
        <v>44</v>
      </c>
      <c r="C12" s="49"/>
      <c r="D12" s="85" t="s">
        <v>45</v>
      </c>
      <c r="E12" s="85"/>
      <c r="F12" s="7"/>
    </row>
    <row r="13" spans="1:6" x14ac:dyDescent="0.25">
      <c r="A13" s="5"/>
      <c r="B13" s="54" t="s">
        <v>23</v>
      </c>
      <c r="C13" s="49"/>
      <c r="D13" s="85" t="s">
        <v>29</v>
      </c>
      <c r="E13" s="85"/>
      <c r="F13" s="7"/>
    </row>
    <row r="14" spans="1:6" x14ac:dyDescent="0.25">
      <c r="A14" s="5"/>
      <c r="B14" s="52"/>
      <c r="C14" s="49"/>
      <c r="D14" s="55"/>
      <c r="E14" s="49"/>
      <c r="F14" s="7"/>
    </row>
    <row r="15" spans="1:6" x14ac:dyDescent="0.25">
      <c r="A15" s="5"/>
      <c r="B15" s="80" t="str">
        <f>+[7]PARTICIPACIONES!B14:F14</f>
        <v>AL MES DE : MARZO DE 2026</v>
      </c>
      <c r="C15" s="80"/>
      <c r="D15" s="80"/>
      <c r="E15" s="80"/>
      <c r="F15" s="11"/>
    </row>
    <row r="16" spans="1:6" x14ac:dyDescent="0.25">
      <c r="A16" s="5"/>
      <c r="B16" s="56"/>
      <c r="C16" s="56"/>
      <c r="D16" s="56"/>
      <c r="E16" s="56"/>
      <c r="F16" s="7"/>
    </row>
    <row r="17" spans="1:9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</row>
    <row r="18" spans="1:9" ht="34.5" customHeight="1" x14ac:dyDescent="0.25">
      <c r="A18" s="5"/>
      <c r="B18" s="21">
        <v>46112</v>
      </c>
      <c r="C18" s="22" t="s">
        <v>51</v>
      </c>
      <c r="D18" s="23" t="s">
        <v>52</v>
      </c>
      <c r="E18" s="24">
        <v>14570.48</v>
      </c>
      <c r="F18" s="7"/>
    </row>
    <row r="19" spans="1:9" ht="34.5" customHeight="1" x14ac:dyDescent="0.25">
      <c r="A19" s="5"/>
      <c r="B19" s="21">
        <v>46112</v>
      </c>
      <c r="C19" s="22" t="s">
        <v>51</v>
      </c>
      <c r="D19" s="67" t="s">
        <v>53</v>
      </c>
      <c r="E19" s="24">
        <v>337480.84</v>
      </c>
      <c r="F19" s="7"/>
    </row>
    <row r="20" spans="1:9" ht="34.5" customHeight="1" x14ac:dyDescent="0.25">
      <c r="A20" s="5"/>
      <c r="B20" s="21">
        <v>46112</v>
      </c>
      <c r="C20" s="22" t="s">
        <v>51</v>
      </c>
      <c r="D20" s="23" t="s">
        <v>54</v>
      </c>
      <c r="E20" s="24">
        <v>13591.32</v>
      </c>
      <c r="F20" s="7"/>
    </row>
    <row r="21" spans="1:9" ht="34.5" customHeight="1" x14ac:dyDescent="0.25">
      <c r="A21" s="5"/>
      <c r="B21" s="21">
        <v>46112</v>
      </c>
      <c r="C21" s="22" t="s">
        <v>51</v>
      </c>
      <c r="D21" s="23" t="s">
        <v>55</v>
      </c>
      <c r="E21" s="24">
        <v>34932</v>
      </c>
      <c r="F21" s="7"/>
    </row>
    <row r="22" spans="1:9" ht="34.5" customHeight="1" x14ac:dyDescent="0.25">
      <c r="A22" s="5"/>
      <c r="B22" s="21"/>
      <c r="C22" s="22"/>
      <c r="D22" s="23"/>
      <c r="E22" s="24"/>
      <c r="F22" s="7"/>
    </row>
    <row r="23" spans="1:9" ht="18" customHeight="1" x14ac:dyDescent="0.25">
      <c r="A23" s="5"/>
      <c r="B23" s="70"/>
      <c r="C23" s="70"/>
      <c r="D23" s="17" t="s">
        <v>13</v>
      </c>
      <c r="E23" s="25">
        <f>SUM(E18:E22)</f>
        <v>400574.64</v>
      </c>
      <c r="F23" s="7"/>
    </row>
    <row r="24" spans="1:9" x14ac:dyDescent="0.25">
      <c r="A24" s="5"/>
      <c r="B24" s="49"/>
      <c r="C24" s="49"/>
      <c r="D24" s="49"/>
      <c r="E24" s="49"/>
      <c r="F24" s="7"/>
    </row>
    <row r="25" spans="1:9" s="32" customFormat="1" x14ac:dyDescent="0.2">
      <c r="A25" s="26"/>
      <c r="B25" s="57"/>
      <c r="C25" s="68"/>
      <c r="D25" s="59"/>
      <c r="E25" s="57"/>
      <c r="F25" s="30"/>
      <c r="G25" s="57"/>
      <c r="H25" s="31"/>
      <c r="I25" s="66"/>
    </row>
    <row r="26" spans="1:9" s="32" customFormat="1" x14ac:dyDescent="0.2">
      <c r="A26" s="26"/>
      <c r="B26" s="57"/>
      <c r="C26" s="58"/>
      <c r="D26" s="60"/>
      <c r="E26" s="60"/>
      <c r="F26" s="34"/>
      <c r="G26" s="57"/>
      <c r="H26" s="31"/>
      <c r="I26" s="66"/>
    </row>
    <row r="27" spans="1:9" s="32" customFormat="1" x14ac:dyDescent="0.2">
      <c r="A27" s="26"/>
      <c r="B27" s="57"/>
      <c r="C27" s="58"/>
      <c r="D27" s="60"/>
      <c r="E27" s="60"/>
      <c r="F27" s="34"/>
      <c r="G27" s="57"/>
      <c r="H27" s="31"/>
      <c r="I27" s="66"/>
    </row>
    <row r="28" spans="1:9" s="32" customFormat="1" x14ac:dyDescent="0.2">
      <c r="A28" s="26"/>
      <c r="B28" s="57"/>
      <c r="C28" s="57"/>
      <c r="D28" s="57"/>
      <c r="E28" s="57"/>
      <c r="F28" s="35"/>
      <c r="G28" s="57"/>
      <c r="H28" s="31"/>
      <c r="I28" s="66"/>
    </row>
    <row r="29" spans="1:9" s="32" customFormat="1" x14ac:dyDescent="0.2">
      <c r="A29" s="26"/>
      <c r="B29" s="60"/>
      <c r="C29" s="60"/>
      <c r="D29" s="60"/>
      <c r="E29" s="60"/>
      <c r="F29" s="36"/>
      <c r="G29" s="60"/>
      <c r="H29" s="31"/>
      <c r="I29" s="66"/>
    </row>
    <row r="30" spans="1:9" s="32" customFormat="1" x14ac:dyDescent="0.2">
      <c r="A30" s="26"/>
      <c r="B30" s="57"/>
      <c r="C30" s="61"/>
      <c r="D30" s="60"/>
      <c r="E30" s="60"/>
      <c r="F30" s="34"/>
      <c r="G30" s="57"/>
      <c r="H30" s="31"/>
      <c r="I30" s="66"/>
    </row>
    <row r="31" spans="1:9" s="32" customFormat="1" ht="28.5" customHeight="1" x14ac:dyDescent="0.2">
      <c r="A31" s="26"/>
      <c r="B31" s="57"/>
      <c r="C31" s="61"/>
      <c r="D31" s="60"/>
      <c r="E31" s="60"/>
      <c r="F31" s="34"/>
      <c r="G31" s="57"/>
      <c r="H31" s="31"/>
      <c r="I31" s="66"/>
    </row>
    <row r="32" spans="1:9" s="39" customFormat="1" x14ac:dyDescent="0.2">
      <c r="A32" s="38"/>
      <c r="B32" s="57"/>
      <c r="C32" s="61"/>
      <c r="D32" s="60"/>
      <c r="E32" s="60"/>
      <c r="F32" s="34"/>
      <c r="G32" s="57"/>
      <c r="H32" s="31"/>
      <c r="I32" s="31"/>
    </row>
    <row r="33" spans="1:9" s="39" customFormat="1" x14ac:dyDescent="0.2">
      <c r="A33" s="38"/>
      <c r="B33" s="57"/>
      <c r="C33" s="61"/>
      <c r="D33" s="60"/>
      <c r="E33" s="60"/>
      <c r="F33" s="34"/>
      <c r="G33" s="57"/>
      <c r="H33" s="31"/>
      <c r="I33" s="31"/>
    </row>
    <row r="34" spans="1:9" s="39" customFormat="1" x14ac:dyDescent="0.2">
      <c r="A34" s="38"/>
      <c r="B34" s="57"/>
      <c r="C34" s="61"/>
      <c r="D34" s="60"/>
      <c r="E34" s="60"/>
      <c r="F34" s="34"/>
      <c r="G34" s="57"/>
      <c r="H34" s="31"/>
      <c r="I34" s="31"/>
    </row>
    <row r="35" spans="1:9" s="39" customFormat="1" x14ac:dyDescent="0.2">
      <c r="A35" s="38"/>
      <c r="B35" s="57"/>
      <c r="C35" s="61"/>
      <c r="D35" s="60"/>
      <c r="E35" s="60"/>
      <c r="F35" s="34"/>
      <c r="G35" s="57"/>
      <c r="H35" s="31"/>
      <c r="I35" s="31"/>
    </row>
    <row r="36" spans="1:9" s="39" customFormat="1" ht="14.25" x14ac:dyDescent="0.2">
      <c r="A36" s="38"/>
      <c r="B36" s="59"/>
      <c r="C36" s="59"/>
      <c r="D36" s="59"/>
      <c r="E36" s="59"/>
      <c r="F36" s="40"/>
      <c r="G36" s="59"/>
      <c r="H36" s="31"/>
      <c r="I36" s="31"/>
    </row>
    <row r="37" spans="1:9" s="39" customFormat="1" x14ac:dyDescent="0.2">
      <c r="A37" s="38"/>
      <c r="B37" s="58"/>
      <c r="C37" s="62"/>
      <c r="D37" s="62"/>
      <c r="E37" s="62"/>
      <c r="F37" s="30"/>
      <c r="G37" s="58"/>
      <c r="H37" s="31"/>
      <c r="I37" s="31"/>
    </row>
    <row r="38" spans="1:9" s="39" customFormat="1" x14ac:dyDescent="0.2">
      <c r="A38" s="38"/>
      <c r="B38" s="58"/>
      <c r="C38" s="62"/>
      <c r="D38" s="62"/>
      <c r="E38" s="62"/>
      <c r="F38" s="30"/>
      <c r="G38" s="58"/>
      <c r="H38" s="31"/>
      <c r="I38" s="31"/>
    </row>
    <row r="39" spans="1:9" s="39" customFormat="1" x14ac:dyDescent="0.2">
      <c r="A39" s="38"/>
      <c r="B39" s="58"/>
      <c r="C39" s="62"/>
      <c r="D39" s="62"/>
      <c r="E39" s="62"/>
      <c r="F39" s="30"/>
      <c r="G39" s="58"/>
      <c r="H39" s="31"/>
      <c r="I39" s="31"/>
    </row>
    <row r="40" spans="1:9" s="39" customFormat="1" x14ac:dyDescent="0.2">
      <c r="A40" s="38"/>
      <c r="B40" s="58"/>
      <c r="C40" s="62"/>
      <c r="D40" s="62"/>
      <c r="E40" s="62"/>
      <c r="F40" s="30"/>
      <c r="G40" s="58"/>
      <c r="H40" s="31"/>
      <c r="I40" s="31"/>
    </row>
    <row r="41" spans="1:9" s="39" customFormat="1" x14ac:dyDescent="0.2">
      <c r="A41" s="38"/>
      <c r="B41" s="58"/>
      <c r="C41" s="62"/>
      <c r="D41" s="62"/>
      <c r="E41" s="62"/>
      <c r="F41" s="30"/>
      <c r="G41" s="58"/>
      <c r="H41" s="31"/>
      <c r="I41" s="31"/>
    </row>
    <row r="42" spans="1:9" x14ac:dyDescent="0.25">
      <c r="A42" s="5"/>
      <c r="B42" s="58"/>
      <c r="C42" s="62"/>
      <c r="D42" s="62"/>
      <c r="E42" s="62"/>
      <c r="F42" s="30"/>
      <c r="G42" s="58"/>
      <c r="H42" s="49"/>
      <c r="I42" s="49"/>
    </row>
    <row r="43" spans="1:9" x14ac:dyDescent="0.25">
      <c r="A43" s="5"/>
      <c r="B43" s="58"/>
      <c r="C43" s="58"/>
      <c r="D43" s="58"/>
      <c r="E43" s="63"/>
      <c r="F43" s="30"/>
      <c r="G43" s="58"/>
      <c r="H43" s="49"/>
      <c r="I43" s="49"/>
    </row>
    <row r="44" spans="1:9" x14ac:dyDescent="0.25">
      <c r="A44" s="5"/>
      <c r="B44" s="49"/>
      <c r="C44" s="64"/>
      <c r="D44" s="64"/>
      <c r="E44" s="49"/>
      <c r="F44" s="7"/>
    </row>
    <row r="45" spans="1:9" x14ac:dyDescent="0.25">
      <c r="A45" s="5"/>
      <c r="B45" s="49"/>
      <c r="C45" s="64"/>
      <c r="D45" s="64"/>
      <c r="E45" s="49"/>
      <c r="F45" s="7"/>
    </row>
    <row r="46" spans="1:9" x14ac:dyDescent="0.25">
      <c r="A46" s="5"/>
      <c r="B46" s="49"/>
      <c r="C46" s="49"/>
      <c r="D46" s="65"/>
      <c r="E46" s="49"/>
      <c r="F46" s="7"/>
    </row>
    <row r="47" spans="1:9" ht="15.75" thickBot="1" x14ac:dyDescent="0.3">
      <c r="A47" s="44"/>
      <c r="B47" s="45"/>
      <c r="C47" s="45"/>
      <c r="D47" s="46"/>
      <c r="E47" s="45"/>
      <c r="F47" s="47"/>
    </row>
  </sheetData>
  <mergeCells count="8">
    <mergeCell ref="B23:C23"/>
    <mergeCell ref="B15:E15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view="pageBreakPreview" zoomScale="99" zoomScaleNormal="100" zoomScaleSheetLayoutView="99" workbookViewId="0">
      <selection activeCell="I12" sqref="I12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75.28515625" customWidth="1"/>
    <col min="5" max="5" width="18" customWidth="1"/>
    <col min="6" max="6" width="4.140625" customWidth="1"/>
  </cols>
  <sheetData>
    <row r="1" spans="1:6" x14ac:dyDescent="0.25">
      <c r="A1" s="1"/>
      <c r="B1" s="2"/>
      <c r="C1" s="2"/>
      <c r="D1" s="2"/>
      <c r="E1" s="3" t="s">
        <v>0</v>
      </c>
      <c r="F1" s="4"/>
    </row>
    <row r="2" spans="1:6" x14ac:dyDescent="0.25">
      <c r="A2" s="5"/>
      <c r="B2" s="49"/>
      <c r="C2" s="49"/>
      <c r="D2" s="50"/>
      <c r="E2" s="49"/>
      <c r="F2" s="7"/>
    </row>
    <row r="3" spans="1:6" ht="15.75" x14ac:dyDescent="0.25">
      <c r="A3" s="5"/>
      <c r="B3" s="81" t="s">
        <v>1</v>
      </c>
      <c r="C3" s="81"/>
      <c r="D3" s="81"/>
      <c r="E3" s="81"/>
      <c r="F3" s="7"/>
    </row>
    <row r="4" spans="1:6" x14ac:dyDescent="0.25">
      <c r="A4" s="5"/>
      <c r="B4" s="50"/>
      <c r="C4" s="49"/>
      <c r="D4" s="53"/>
      <c r="E4" s="49"/>
      <c r="F4" s="7"/>
    </row>
    <row r="5" spans="1:6" x14ac:dyDescent="0.25">
      <c r="A5" s="5"/>
      <c r="B5" s="82" t="s">
        <v>2</v>
      </c>
      <c r="C5" s="82"/>
      <c r="D5" s="82"/>
      <c r="E5" s="82"/>
      <c r="F5" s="9"/>
    </row>
    <row r="6" spans="1:6" x14ac:dyDescent="0.25">
      <c r="A6" s="5"/>
      <c r="B6" s="49"/>
      <c r="C6" s="49"/>
      <c r="D6" s="49"/>
      <c r="E6" s="52"/>
      <c r="F6" s="11"/>
    </row>
    <row r="7" spans="1:6" x14ac:dyDescent="0.25">
      <c r="A7" s="73" t="s">
        <v>25</v>
      </c>
      <c r="B7" s="83"/>
      <c r="C7" s="83"/>
      <c r="D7" s="83"/>
      <c r="E7" s="83"/>
      <c r="F7" s="75"/>
    </row>
    <row r="8" spans="1:6" x14ac:dyDescent="0.25">
      <c r="A8" s="5"/>
      <c r="B8" s="49"/>
      <c r="C8" s="49"/>
      <c r="D8" s="49"/>
      <c r="E8" s="49"/>
      <c r="F8" s="11"/>
    </row>
    <row r="9" spans="1:6" x14ac:dyDescent="0.25">
      <c r="A9" s="5"/>
      <c r="B9" s="49"/>
      <c r="C9" s="49"/>
      <c r="D9" s="49"/>
      <c r="E9" s="49"/>
      <c r="F9" s="11"/>
    </row>
    <row r="10" spans="1:6" x14ac:dyDescent="0.25">
      <c r="A10" s="76" t="s">
        <v>26</v>
      </c>
      <c r="B10" s="84"/>
      <c r="C10" s="84"/>
      <c r="D10" s="84"/>
      <c r="E10" s="84"/>
      <c r="F10" s="78"/>
    </row>
    <row r="11" spans="1:6" ht="22.5" customHeight="1" x14ac:dyDescent="0.25">
      <c r="A11" s="5"/>
      <c r="B11" s="49"/>
      <c r="C11" s="49"/>
      <c r="D11" s="49"/>
      <c r="E11" s="49"/>
      <c r="F11" s="7"/>
    </row>
    <row r="12" spans="1:6" x14ac:dyDescent="0.25">
      <c r="A12" s="5"/>
      <c r="B12" s="52" t="s">
        <v>27</v>
      </c>
      <c r="C12" s="49"/>
      <c r="D12" s="85" t="s">
        <v>28</v>
      </c>
      <c r="E12" s="85"/>
      <c r="F12" s="7"/>
    </row>
    <row r="13" spans="1:6" x14ac:dyDescent="0.25">
      <c r="A13" s="5"/>
      <c r="B13" s="54" t="s">
        <v>23</v>
      </c>
      <c r="C13" s="49"/>
      <c r="D13" s="85" t="s">
        <v>29</v>
      </c>
      <c r="E13" s="85"/>
      <c r="F13" s="7"/>
    </row>
    <row r="14" spans="1:6" x14ac:dyDescent="0.25">
      <c r="A14" s="5"/>
      <c r="B14" s="52"/>
      <c r="C14" s="49"/>
      <c r="D14" s="55"/>
      <c r="E14" s="49"/>
      <c r="F14" s="7"/>
    </row>
    <row r="15" spans="1:6" x14ac:dyDescent="0.25">
      <c r="A15" s="5"/>
      <c r="B15" s="80" t="str">
        <f>+[8]CHEQUES!B14:F14</f>
        <v>AL MES DE : MARZO DE 2026</v>
      </c>
      <c r="C15" s="80"/>
      <c r="D15" s="80"/>
      <c r="E15" s="80"/>
      <c r="F15" s="11"/>
    </row>
    <row r="16" spans="1:6" x14ac:dyDescent="0.25">
      <c r="A16" s="5"/>
      <c r="B16" s="56"/>
      <c r="C16" s="56"/>
      <c r="D16" s="56"/>
      <c r="E16" s="56"/>
      <c r="F16" s="7"/>
    </row>
    <row r="17" spans="1:6" s="20" customFormat="1" ht="28.5" customHeight="1" x14ac:dyDescent="0.25">
      <c r="A17" s="16"/>
      <c r="B17" s="17" t="s">
        <v>9</v>
      </c>
      <c r="C17" s="18" t="s">
        <v>10</v>
      </c>
      <c r="D17" s="17" t="s">
        <v>11</v>
      </c>
      <c r="E17" s="17" t="s">
        <v>12</v>
      </c>
      <c r="F17" s="19"/>
    </row>
    <row r="18" spans="1:6" ht="27" customHeight="1" x14ac:dyDescent="0.25">
      <c r="A18" s="5"/>
      <c r="B18" s="21" t="s">
        <v>56</v>
      </c>
      <c r="C18" s="22">
        <v>326</v>
      </c>
      <c r="D18" s="23" t="s">
        <v>57</v>
      </c>
      <c r="E18" s="24">
        <v>10380.24</v>
      </c>
      <c r="F18" s="7"/>
    </row>
    <row r="19" spans="1:6" ht="27" customHeight="1" x14ac:dyDescent="0.25">
      <c r="A19" s="5"/>
      <c r="B19" s="21" t="s">
        <v>56</v>
      </c>
      <c r="C19" s="22">
        <v>326</v>
      </c>
      <c r="D19" s="23" t="s">
        <v>58</v>
      </c>
      <c r="E19" s="24">
        <v>7339.25</v>
      </c>
      <c r="F19" s="7"/>
    </row>
    <row r="20" spans="1:6" ht="27" customHeight="1" x14ac:dyDescent="0.25">
      <c r="A20" s="5"/>
      <c r="B20" s="21" t="s">
        <v>56</v>
      </c>
      <c r="C20" s="22">
        <v>326</v>
      </c>
      <c r="D20" s="23" t="s">
        <v>59</v>
      </c>
      <c r="E20" s="24">
        <v>21656.560000000001</v>
      </c>
      <c r="F20" s="7"/>
    </row>
    <row r="21" spans="1:6" ht="27" customHeight="1" x14ac:dyDescent="0.25">
      <c r="A21" s="5"/>
      <c r="B21" s="21" t="s">
        <v>56</v>
      </c>
      <c r="C21" s="22">
        <v>326</v>
      </c>
      <c r="D21" s="23" t="s">
        <v>60</v>
      </c>
      <c r="E21" s="24">
        <v>4730.4399999999996</v>
      </c>
      <c r="F21" s="7"/>
    </row>
    <row r="22" spans="1:6" ht="27" customHeight="1" x14ac:dyDescent="0.25">
      <c r="A22" s="5"/>
      <c r="B22" s="21" t="s">
        <v>56</v>
      </c>
      <c r="C22" s="22">
        <v>326</v>
      </c>
      <c r="D22" s="23" t="s">
        <v>61</v>
      </c>
      <c r="E22" s="24">
        <v>8070.35</v>
      </c>
      <c r="F22" s="7"/>
    </row>
    <row r="23" spans="1:6" ht="27" customHeight="1" x14ac:dyDescent="0.25">
      <c r="A23" s="5"/>
      <c r="B23" s="21" t="s">
        <v>56</v>
      </c>
      <c r="C23" s="22">
        <v>326</v>
      </c>
      <c r="D23" s="23" t="s">
        <v>62</v>
      </c>
      <c r="E23" s="24">
        <v>6100.12</v>
      </c>
      <c r="F23" s="7"/>
    </row>
    <row r="24" spans="1:6" ht="27" customHeight="1" x14ac:dyDescent="0.25">
      <c r="A24" s="5"/>
      <c r="B24" s="21" t="s">
        <v>56</v>
      </c>
      <c r="C24" s="22">
        <v>326</v>
      </c>
      <c r="D24" s="23" t="s">
        <v>63</v>
      </c>
      <c r="E24" s="24">
        <v>7417.14</v>
      </c>
      <c r="F24" s="7"/>
    </row>
    <row r="25" spans="1:6" ht="27" customHeight="1" x14ac:dyDescent="0.25">
      <c r="A25" s="5"/>
      <c r="B25" s="21" t="s">
        <v>56</v>
      </c>
      <c r="C25" s="22">
        <v>326</v>
      </c>
      <c r="D25" s="23" t="s">
        <v>64</v>
      </c>
      <c r="E25" s="24">
        <v>2763.14</v>
      </c>
      <c r="F25" s="7"/>
    </row>
    <row r="26" spans="1:6" ht="27" customHeight="1" x14ac:dyDescent="0.25">
      <c r="A26" s="5"/>
      <c r="B26" s="21" t="s">
        <v>56</v>
      </c>
      <c r="C26" s="22">
        <v>326</v>
      </c>
      <c r="D26" s="23" t="s">
        <v>65</v>
      </c>
      <c r="E26" s="24">
        <v>3149.6</v>
      </c>
      <c r="F26" s="7"/>
    </row>
    <row r="27" spans="1:6" ht="27" customHeight="1" x14ac:dyDescent="0.25">
      <c r="A27" s="5"/>
      <c r="B27" s="21" t="s">
        <v>56</v>
      </c>
      <c r="C27" s="22">
        <v>326</v>
      </c>
      <c r="D27" s="23" t="s">
        <v>66</v>
      </c>
      <c r="E27" s="24">
        <v>7159.05</v>
      </c>
      <c r="F27" s="7"/>
    </row>
    <row r="28" spans="1:6" ht="27" customHeight="1" x14ac:dyDescent="0.25">
      <c r="A28" s="5"/>
      <c r="B28" s="21" t="s">
        <v>56</v>
      </c>
      <c r="C28" s="22">
        <v>326</v>
      </c>
      <c r="D28" s="23" t="s">
        <v>67</v>
      </c>
      <c r="E28" s="24">
        <v>12323.76</v>
      </c>
      <c r="F28" s="7"/>
    </row>
    <row r="29" spans="1:6" ht="27" customHeight="1" x14ac:dyDescent="0.25">
      <c r="A29" s="5"/>
      <c r="B29" s="21" t="s">
        <v>56</v>
      </c>
      <c r="C29" s="22">
        <v>326</v>
      </c>
      <c r="D29" s="23" t="s">
        <v>68</v>
      </c>
      <c r="E29" s="24">
        <v>6022.32</v>
      </c>
      <c r="F29" s="7"/>
    </row>
    <row r="30" spans="1:6" ht="27" customHeight="1" x14ac:dyDescent="0.25">
      <c r="A30" s="5"/>
      <c r="B30" s="21" t="s">
        <v>56</v>
      </c>
      <c r="C30" s="22">
        <v>326</v>
      </c>
      <c r="D30" s="23" t="s">
        <v>69</v>
      </c>
      <c r="E30" s="24">
        <v>15703</v>
      </c>
      <c r="F30" s="7"/>
    </row>
    <row r="31" spans="1:6" ht="27" customHeight="1" x14ac:dyDescent="0.25">
      <c r="A31" s="5"/>
      <c r="B31" s="21" t="s">
        <v>56</v>
      </c>
      <c r="C31" s="22">
        <v>326</v>
      </c>
      <c r="D31" s="23" t="s">
        <v>70</v>
      </c>
      <c r="E31" s="24">
        <v>7945.31</v>
      </c>
      <c r="F31" s="7"/>
    </row>
    <row r="32" spans="1:6" ht="27" customHeight="1" x14ac:dyDescent="0.25">
      <c r="A32" s="5"/>
      <c r="B32" s="21" t="s">
        <v>56</v>
      </c>
      <c r="C32" s="22">
        <v>326</v>
      </c>
      <c r="D32" s="23" t="s">
        <v>71</v>
      </c>
      <c r="E32" s="24">
        <v>3101.45</v>
      </c>
      <c r="F32" s="7"/>
    </row>
    <row r="33" spans="1:9" ht="27" customHeight="1" x14ac:dyDescent="0.25">
      <c r="A33" s="5"/>
      <c r="B33" s="21" t="s">
        <v>56</v>
      </c>
      <c r="C33" s="22">
        <v>326</v>
      </c>
      <c r="D33" s="23" t="s">
        <v>72</v>
      </c>
      <c r="E33" s="24">
        <v>3814.17</v>
      </c>
      <c r="F33" s="7"/>
    </row>
    <row r="34" spans="1:9" ht="27" customHeight="1" x14ac:dyDescent="0.25">
      <c r="A34" s="5"/>
      <c r="B34" s="21" t="s">
        <v>56</v>
      </c>
      <c r="C34" s="22">
        <v>326</v>
      </c>
      <c r="D34" s="23" t="s">
        <v>73</v>
      </c>
      <c r="E34" s="24">
        <v>1849.44</v>
      </c>
      <c r="F34" s="7"/>
    </row>
    <row r="35" spans="1:9" ht="27" customHeight="1" x14ac:dyDescent="0.25">
      <c r="A35" s="5"/>
      <c r="B35" s="21" t="s">
        <v>56</v>
      </c>
      <c r="C35" s="22">
        <v>326</v>
      </c>
      <c r="D35" s="23" t="s">
        <v>74</v>
      </c>
      <c r="E35" s="24">
        <v>2731.88</v>
      </c>
      <c r="F35" s="7"/>
    </row>
    <row r="36" spans="1:9" ht="27" customHeight="1" x14ac:dyDescent="0.25">
      <c r="A36" s="5"/>
      <c r="B36" s="21">
        <v>46112</v>
      </c>
      <c r="C36" s="22">
        <v>326</v>
      </c>
      <c r="D36" s="23" t="s">
        <v>75</v>
      </c>
      <c r="E36" s="24">
        <v>5450.12</v>
      </c>
      <c r="F36" s="7"/>
    </row>
    <row r="37" spans="1:9" ht="27" customHeight="1" x14ac:dyDescent="0.25">
      <c r="A37" s="5"/>
      <c r="B37" s="21" t="s">
        <v>56</v>
      </c>
      <c r="C37" s="22">
        <v>326</v>
      </c>
      <c r="D37" s="23" t="s">
        <v>76</v>
      </c>
      <c r="E37" s="24">
        <v>17076.509999999998</v>
      </c>
      <c r="F37" s="7"/>
    </row>
    <row r="38" spans="1:9" ht="18" customHeight="1" x14ac:dyDescent="0.25">
      <c r="A38" s="5"/>
      <c r="B38" s="70"/>
      <c r="C38" s="70"/>
      <c r="D38" s="17" t="s">
        <v>13</v>
      </c>
      <c r="E38" s="25">
        <f>SUM(E18:E37)</f>
        <v>154783.85</v>
      </c>
      <c r="F38" s="7"/>
    </row>
    <row r="39" spans="1:9" x14ac:dyDescent="0.25">
      <c r="A39" s="5"/>
      <c r="B39" s="49"/>
      <c r="C39" s="49"/>
      <c r="D39" s="49"/>
      <c r="E39" s="49"/>
      <c r="F39" s="7"/>
    </row>
    <row r="40" spans="1:9" x14ac:dyDescent="0.25">
      <c r="A40" s="5"/>
      <c r="B40" s="49"/>
      <c r="C40" s="49"/>
      <c r="D40" s="49"/>
      <c r="E40" s="49"/>
      <c r="F40" s="7"/>
    </row>
    <row r="41" spans="1:9" x14ac:dyDescent="0.25">
      <c r="A41" s="5"/>
      <c r="B41" s="49"/>
      <c r="C41" s="49"/>
      <c r="D41" s="49"/>
      <c r="E41" s="49"/>
      <c r="F41" s="7"/>
    </row>
    <row r="42" spans="1:9" x14ac:dyDescent="0.25">
      <c r="A42" s="5"/>
      <c r="B42" s="49"/>
      <c r="C42" s="49"/>
      <c r="D42" s="49"/>
      <c r="E42" s="49"/>
      <c r="F42" s="7"/>
    </row>
    <row r="43" spans="1:9" x14ac:dyDescent="0.25">
      <c r="A43" s="5"/>
      <c r="B43" s="49"/>
      <c r="C43" s="49"/>
      <c r="D43" s="49"/>
      <c r="E43" s="49"/>
      <c r="F43" s="7"/>
    </row>
    <row r="44" spans="1:9" x14ac:dyDescent="0.25">
      <c r="A44" s="5"/>
      <c r="B44" s="49"/>
      <c r="C44" s="49"/>
      <c r="D44" s="49"/>
      <c r="E44" s="49"/>
      <c r="F44" s="7"/>
    </row>
    <row r="45" spans="1:9" s="32" customFormat="1" x14ac:dyDescent="0.2">
      <c r="A45" s="26"/>
      <c r="B45" s="57"/>
      <c r="C45" s="58"/>
      <c r="D45" s="59"/>
      <c r="E45" s="57"/>
      <c r="F45" s="30"/>
      <c r="G45" s="35"/>
      <c r="I45" s="39"/>
    </row>
    <row r="46" spans="1:9" s="32" customFormat="1" x14ac:dyDescent="0.2">
      <c r="A46" s="26"/>
      <c r="B46" s="57"/>
      <c r="C46" s="58"/>
      <c r="D46" s="60"/>
      <c r="E46" s="60"/>
      <c r="F46" s="34"/>
      <c r="G46" s="35"/>
      <c r="I46" s="39"/>
    </row>
    <row r="47" spans="1:9" s="32" customFormat="1" x14ac:dyDescent="0.2">
      <c r="A47" s="26"/>
      <c r="B47" s="57"/>
      <c r="C47" s="58"/>
      <c r="D47" s="60"/>
      <c r="E47" s="60"/>
      <c r="F47" s="34"/>
      <c r="G47" s="35"/>
      <c r="I47" s="39"/>
    </row>
    <row r="48" spans="1:9" s="32" customFormat="1" x14ac:dyDescent="0.2">
      <c r="A48" s="26"/>
      <c r="B48" s="57"/>
      <c r="C48" s="57"/>
      <c r="D48" s="57"/>
      <c r="E48" s="57"/>
      <c r="F48" s="35"/>
      <c r="G48" s="35"/>
      <c r="I48" s="39"/>
    </row>
    <row r="49" spans="1:9" s="32" customFormat="1" x14ac:dyDescent="0.2">
      <c r="A49" s="26"/>
      <c r="B49" s="57"/>
      <c r="C49" s="57"/>
      <c r="D49" s="57"/>
      <c r="E49" s="57"/>
      <c r="F49" s="35"/>
      <c r="G49" s="35"/>
      <c r="I49" s="39"/>
    </row>
    <row r="50" spans="1:9" s="32" customFormat="1" x14ac:dyDescent="0.2">
      <c r="A50" s="26"/>
      <c r="B50" s="57"/>
      <c r="C50" s="57"/>
      <c r="D50" s="57"/>
      <c r="E50" s="57"/>
      <c r="F50" s="35"/>
      <c r="G50" s="35"/>
      <c r="I50" s="39"/>
    </row>
    <row r="51" spans="1:9" s="32" customFormat="1" x14ac:dyDescent="0.2">
      <c r="A51" s="26"/>
      <c r="B51" s="57"/>
      <c r="C51" s="57"/>
      <c r="D51" s="57"/>
      <c r="E51" s="57"/>
      <c r="F51" s="35"/>
      <c r="G51" s="35"/>
      <c r="I51" s="39"/>
    </row>
    <row r="52" spans="1:9" s="32" customFormat="1" x14ac:dyDescent="0.2">
      <c r="A52" s="26"/>
      <c r="B52" s="57"/>
      <c r="C52" s="57"/>
      <c r="D52" s="57"/>
      <c r="E52" s="57"/>
      <c r="F52" s="35"/>
      <c r="G52" s="35"/>
      <c r="I52" s="39"/>
    </row>
    <row r="53" spans="1:9" s="32" customFormat="1" x14ac:dyDescent="0.2">
      <c r="A53" s="26"/>
      <c r="B53" s="57"/>
      <c r="C53" s="57"/>
      <c r="D53" s="57"/>
      <c r="E53" s="57"/>
      <c r="F53" s="35"/>
      <c r="G53" s="35"/>
      <c r="I53" s="39"/>
    </row>
    <row r="54" spans="1:9" s="32" customFormat="1" x14ac:dyDescent="0.2">
      <c r="A54" s="26"/>
      <c r="B54" s="57"/>
      <c r="C54" s="57"/>
      <c r="D54" s="57"/>
      <c r="E54" s="57"/>
      <c r="F54" s="35"/>
      <c r="G54" s="35"/>
      <c r="I54" s="39"/>
    </row>
    <row r="55" spans="1:9" s="32" customFormat="1" x14ac:dyDescent="0.2">
      <c r="A55" s="26"/>
      <c r="B55" s="60"/>
      <c r="C55" s="60"/>
      <c r="D55" s="60"/>
      <c r="E55" s="60"/>
      <c r="F55" s="36"/>
      <c r="G55" s="36"/>
      <c r="I55" s="39"/>
    </row>
    <row r="56" spans="1:9" s="32" customFormat="1" x14ac:dyDescent="0.2">
      <c r="A56" s="26"/>
      <c r="B56" s="57"/>
      <c r="C56" s="61"/>
      <c r="D56" s="60"/>
      <c r="E56" s="60"/>
      <c r="F56" s="34"/>
      <c r="G56" s="35"/>
      <c r="I56" s="39"/>
    </row>
    <row r="57" spans="1:9" s="32" customFormat="1" ht="28.5" customHeight="1" x14ac:dyDescent="0.2">
      <c r="A57" s="26"/>
      <c r="B57" s="57"/>
      <c r="C57" s="61"/>
      <c r="D57" s="60"/>
      <c r="E57" s="60"/>
      <c r="F57" s="34"/>
      <c r="G57" s="35"/>
      <c r="I57" s="39"/>
    </row>
    <row r="58" spans="1:9" s="39" customFormat="1" x14ac:dyDescent="0.2">
      <c r="A58" s="38"/>
      <c r="B58" s="57"/>
      <c r="C58" s="61"/>
      <c r="D58" s="60"/>
      <c r="E58" s="60"/>
      <c r="F58" s="34"/>
      <c r="G58" s="35"/>
      <c r="H58" s="32"/>
    </row>
    <row r="59" spans="1:9" s="39" customFormat="1" ht="14.25" x14ac:dyDescent="0.2">
      <c r="A59" s="38"/>
      <c r="B59" s="59"/>
      <c r="C59" s="59"/>
      <c r="D59" s="59"/>
      <c r="E59" s="59"/>
      <c r="F59" s="40"/>
      <c r="G59" s="40"/>
      <c r="H59" s="32"/>
    </row>
    <row r="60" spans="1:9" s="39" customFormat="1" x14ac:dyDescent="0.2">
      <c r="A60" s="38"/>
      <c r="B60" s="58"/>
      <c r="C60" s="62"/>
      <c r="D60" s="62"/>
      <c r="E60" s="62"/>
      <c r="F60" s="30"/>
      <c r="G60" s="30"/>
      <c r="H60" s="32"/>
    </row>
    <row r="61" spans="1:9" s="39" customFormat="1" x14ac:dyDescent="0.2">
      <c r="A61" s="38"/>
      <c r="B61" s="58"/>
      <c r="C61" s="62"/>
      <c r="D61" s="62"/>
      <c r="E61" s="62"/>
      <c r="F61" s="30"/>
      <c r="G61" s="30"/>
      <c r="H61" s="32"/>
    </row>
    <row r="62" spans="1:9" x14ac:dyDescent="0.25">
      <c r="A62" s="5"/>
      <c r="B62" s="58"/>
      <c r="C62" s="62"/>
      <c r="D62" s="62"/>
      <c r="E62" s="62"/>
      <c r="F62" s="30"/>
      <c r="G62" s="30"/>
    </row>
    <row r="63" spans="1:9" x14ac:dyDescent="0.25">
      <c r="A63" s="5"/>
      <c r="B63" s="58"/>
      <c r="C63" s="58"/>
      <c r="D63" s="58"/>
      <c r="E63" s="63"/>
      <c r="F63" s="30"/>
      <c r="G63" s="30"/>
    </row>
    <row r="64" spans="1:9" x14ac:dyDescent="0.25">
      <c r="A64" s="5"/>
      <c r="B64" s="49"/>
      <c r="C64" s="64"/>
      <c r="D64" s="64"/>
      <c r="E64" s="49"/>
      <c r="F64" s="7"/>
    </row>
    <row r="65" spans="1:6" x14ac:dyDescent="0.25">
      <c r="A65" s="5"/>
      <c r="B65" s="49"/>
      <c r="C65" s="64"/>
      <c r="D65" s="64"/>
      <c r="E65" s="49"/>
      <c r="F65" s="7"/>
    </row>
    <row r="66" spans="1:6" x14ac:dyDescent="0.25">
      <c r="A66" s="5"/>
      <c r="B66" s="49"/>
      <c r="C66" s="49"/>
      <c r="D66" s="65"/>
      <c r="E66" s="49"/>
      <c r="F66" s="7"/>
    </row>
    <row r="67" spans="1:6" ht="15.75" thickBot="1" x14ac:dyDescent="0.3">
      <c r="A67" s="44"/>
      <c r="B67" s="45"/>
      <c r="C67" s="45"/>
      <c r="D67" s="46"/>
      <c r="E67" s="45"/>
      <c r="F67" s="47"/>
    </row>
  </sheetData>
  <mergeCells count="8">
    <mergeCell ref="B38:C38"/>
    <mergeCell ref="B15:E15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1.1.1.2.02.67</vt:lpstr>
      <vt:lpstr> 1.1.1.2.02.68</vt:lpstr>
      <vt:lpstr>1.1.1.2.02.69</vt:lpstr>
      <vt:lpstr> 1.1.1.2.02.70</vt:lpstr>
      <vt:lpstr> 1.1.1.2.05.03</vt:lpstr>
      <vt:lpstr>1.1.1.2.05.04</vt:lpstr>
      <vt:lpstr> 1.1.1.2.05.05</vt:lpstr>
      <vt:lpstr>1.1.1.2.05.06</vt:lpstr>
      <vt:lpstr>' 1.1.1.2.05.03'!Área_de_impresión</vt:lpstr>
      <vt:lpstr>'1.1.1.2.05.04'!Área_de_impresión</vt:lpstr>
      <vt:lpstr>'1.1.1.2.05.06'!Área_de_impresión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2026-02-25T02:25:00Z</dcterms:created>
  <dcterms:modified xsi:type="dcterms:W3CDTF">2026-04-21T03:07:25Z</dcterms:modified>
</cp:coreProperties>
</file>