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"/>
    </mc:Choice>
  </mc:AlternateContent>
  <bookViews>
    <workbookView xWindow="0" yWindow="0" windowWidth="15345" windowHeight="5625"/>
  </bookViews>
  <sheets>
    <sheet name="ENERO" sheetId="2" r:id="rId1"/>
  </sheets>
  <definedNames>
    <definedName name="_xlnm.Print_Area" localSheetId="0">ENERO!$A$1:$F$61</definedName>
    <definedName name="_xlnm.Print_Titles" localSheetId="0">ENERO!$1:$5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2" l="1"/>
  <c r="F22" i="2"/>
  <c r="F45" i="2" l="1"/>
  <c r="F46" i="2" s="1"/>
</calcChain>
</file>

<file path=xl/sharedStrings.xml><?xml version="1.0" encoding="utf-8"?>
<sst xmlns="http://schemas.openxmlformats.org/spreadsheetml/2006/main" count="42" uniqueCount="41">
  <si>
    <t>IMPORTE</t>
  </si>
  <si>
    <t>PARTICIPACIONES:</t>
  </si>
  <si>
    <t>PARCIAL</t>
  </si>
  <si>
    <t>TOTAL</t>
  </si>
  <si>
    <t>Fondo General</t>
  </si>
  <si>
    <t>Fondo ISR Bienes Inmuebles</t>
  </si>
  <si>
    <t>Fondo Especial I.E.P.S.</t>
  </si>
  <si>
    <t>Fondo de Fomento Municipal</t>
  </si>
  <si>
    <t>Tenencia de vehículos</t>
  </si>
  <si>
    <t>I.S.A.N.</t>
  </si>
  <si>
    <t>Fondo de Compensación del I.S.A.N.</t>
  </si>
  <si>
    <t>Fondo de Fiscalización</t>
  </si>
  <si>
    <t>Fondo de Extracción de Hidrocarburos</t>
  </si>
  <si>
    <t>Participaciones de Gasolina y Diesel</t>
  </si>
  <si>
    <t>Incentivo a la venta de gasolina y diesel</t>
  </si>
  <si>
    <t>Fondo de Compensaciòn IEPS de Gasolina y Diesel</t>
  </si>
  <si>
    <t>Suma</t>
  </si>
  <si>
    <t>DEDUCCIONES:</t>
  </si>
  <si>
    <t>C.F.E.</t>
  </si>
  <si>
    <t>I.P.E.</t>
  </si>
  <si>
    <t>Convenio SHCP-IMSS/ISSSTE</t>
  </si>
  <si>
    <t>Adeudo CMAS-Xalapa</t>
  </si>
  <si>
    <t>Fideicomiso Bursátil F/998</t>
  </si>
  <si>
    <t>Créditos Fiscales</t>
  </si>
  <si>
    <t>Retención TESOFE/SEFIPLAN</t>
  </si>
  <si>
    <t>Préstamo Bancario-Capital</t>
  </si>
  <si>
    <t>Préstamo Bancario-Intereses</t>
  </si>
  <si>
    <t>Deutsche Bank México</t>
  </si>
  <si>
    <t>Descuento FEIEF Fondo General</t>
  </si>
  <si>
    <t>Interacciones S.A. F/9946</t>
  </si>
  <si>
    <t>Capital -FINTEGRA</t>
  </si>
  <si>
    <t>Intereses-FINTEGRA</t>
  </si>
  <si>
    <t>Financiera SOFOM</t>
  </si>
  <si>
    <t>OTRAS FUENTES:</t>
  </si>
  <si>
    <t>Impuesto sobre la Renta Participable</t>
  </si>
  <si>
    <t xml:space="preserve">Suma </t>
  </si>
  <si>
    <t>Importe Neto</t>
  </si>
  <si>
    <t>Fondo Fomento Municipal Convenio Predial</t>
  </si>
  <si>
    <t>FEIEF COMPENSACION DEFINITIVA</t>
  </si>
  <si>
    <t>H. AYUNTAMIENTO DE ACAJETE, VER.</t>
  </si>
  <si>
    <t>NOTIFICACIÓN DE PARTICIPACIONES DEL MES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</si>
</sst>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/>
    </xf>
    <xf numFmtId="4" fontId="0" fillId="0" borderId="0" xfId="0" applyNumberFormat="1"/>
    <xf numFmtId="43" fontId="0" fillId="0" borderId="0" xfId="1" applyFont="1"/>
    <xf numFmtId="0" fontId="2" fillId="0" borderId="0" xfId="0" applyFont="1"/>
    <xf numFmtId="44" fontId="0" fillId="0" borderId="0" xfId="0" applyNumberFormat="1"/>
    <xf numFmtId="44" fontId="0" fillId="0" borderId="1" xfId="2" applyFont="1" applyBorder="1"/>
    <xf numFmtId="2" fontId="0" fillId="0" borderId="0" xfId="2" applyNumberFormat="1" applyFont="1"/>
    <xf numFmtId="0" fontId="0" fillId="0" borderId="0" xfId="0" applyAlignment="1">
      <alignment horizontal="left"/>
    </xf>
    <xf numFmtId="4" fontId="0" fillId="0" borderId="1" xfId="0" applyNumberFormat="1" applyBorder="1"/>
    <xf numFmtId="43" fontId="0" fillId="0" borderId="1" xfId="1" applyFont="1" applyBorder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4" fontId="2" fillId="2" borderId="0" xfId="0" applyNumberFormat="1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48</xdr:row>
      <xdr:rowOff>175260</xdr:rowOff>
    </xdr:from>
    <xdr:to>
      <xdr:col>5</xdr:col>
      <xdr:colOff>1325880</xdr:colOff>
      <xdr:row>60</xdr:row>
      <xdr:rowOff>161925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44B247C5-A84F-4E5F-9AE0-74EFD67711FA}"/>
            </a:ext>
          </a:extLst>
        </xdr:cNvPr>
        <xdr:cNvGrpSpPr/>
      </xdr:nvGrpSpPr>
      <xdr:grpSpPr>
        <a:xfrm>
          <a:off x="104775" y="9271635"/>
          <a:ext cx="6574155" cy="2272665"/>
          <a:chOff x="339769" y="8181396"/>
          <a:chExt cx="6154754" cy="1788171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A4580C0B-A301-405E-BA0E-92353EC3CA09}"/>
              </a:ext>
            </a:extLst>
          </xdr:cNvPr>
          <xdr:cNvGrpSpPr/>
        </xdr:nvGrpSpPr>
        <xdr:grpSpPr>
          <a:xfrm>
            <a:off x="339769" y="8181396"/>
            <a:ext cx="6154754" cy="1788171"/>
            <a:chOff x="177844" y="8200446"/>
            <a:chExt cx="6154754" cy="1788171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06A24F5C-E42C-46DD-A4D3-F26D83600532}"/>
                </a:ext>
              </a:extLst>
            </xdr:cNvPr>
            <xdr:cNvSpPr txBox="1"/>
          </xdr:nvSpPr>
          <xdr:spPr>
            <a:xfrm>
              <a:off x="3700788" y="8200446"/>
              <a:ext cx="2631810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8A32C042-35B6-4C9A-B9AF-157870553CF6}"/>
                </a:ext>
              </a:extLst>
            </xdr:cNvPr>
            <xdr:cNvSpPr txBox="1"/>
          </xdr:nvSpPr>
          <xdr:spPr>
            <a:xfrm>
              <a:off x="195850" y="8209873"/>
              <a:ext cx="2470479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MARIA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6945598C-0F0D-45BB-B863-56FD885E4E66}"/>
                </a:ext>
              </a:extLst>
            </xdr:cNvPr>
            <xdr:cNvSpPr txBox="1"/>
          </xdr:nvSpPr>
          <xdr:spPr>
            <a:xfrm>
              <a:off x="177844" y="9429933"/>
              <a:ext cx="2803512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35DD44A4-B558-4770-9AB8-B49BA4896D3C}"/>
                </a:ext>
              </a:extLst>
            </xdr:cNvPr>
            <xdr:cNvSpPr txBox="1"/>
          </xdr:nvSpPr>
          <xdr:spPr>
            <a:xfrm>
              <a:off x="3679334" y="9417117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HERNÀNDEZ SOTO 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B1546347-9760-418F-AC73-FBAADEDF9F4F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83821</xdr:colOff>
      <xdr:row>0</xdr:row>
      <xdr:rowOff>99061</xdr:rowOff>
    </xdr:from>
    <xdr:to>
      <xdr:col>2</xdr:col>
      <xdr:colOff>330513</xdr:colOff>
      <xdr:row>5</xdr:row>
      <xdr:rowOff>53341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AF739B8-05C1-4955-AE0E-1A70E469A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1" y="99061"/>
          <a:ext cx="1039172" cy="998220"/>
        </a:xfrm>
        <a:prstGeom prst="rect">
          <a:avLst/>
        </a:prstGeom>
      </xdr:spPr>
    </xdr:pic>
    <xdr:clientData/>
  </xdr:twoCellAnchor>
  <xdr:twoCellAnchor editAs="oneCell">
    <xdr:from>
      <xdr:col>5</xdr:col>
      <xdr:colOff>350521</xdr:colOff>
      <xdr:row>1</xdr:row>
      <xdr:rowOff>7620</xdr:rowOff>
    </xdr:from>
    <xdr:to>
      <xdr:col>5</xdr:col>
      <xdr:colOff>1133461</xdr:colOff>
      <xdr:row>4</xdr:row>
      <xdr:rowOff>166206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60BC8B-237C-DF87-494D-CF0A7F6B7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401" y="190500"/>
          <a:ext cx="782940" cy="836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6"/>
  <sheetViews>
    <sheetView tabSelected="1" view="pageBreakPreview" topLeftCell="A29" zoomScaleNormal="100" zoomScaleSheetLayoutView="100" workbookViewId="0">
      <selection activeCell="H39" sqref="H39"/>
    </sheetView>
  </sheetViews>
  <sheetFormatPr baseColWidth="10" defaultRowHeight="15" x14ac:dyDescent="0.25"/>
  <cols>
    <col min="1" max="1" width="4.5703125" customWidth="1"/>
    <col min="3" max="3" width="14.85546875" customWidth="1"/>
    <col min="4" max="4" width="29.42578125" customWidth="1"/>
    <col min="5" max="6" width="20" customWidth="1"/>
    <col min="7" max="7" width="13.5703125" bestFit="1" customWidth="1"/>
    <col min="8" max="8" width="14.140625" bestFit="1" customWidth="1"/>
  </cols>
  <sheetData>
    <row r="2" spans="2:7" ht="24.75" customHeight="1" x14ac:dyDescent="0.25"/>
    <row r="3" spans="2:7" x14ac:dyDescent="0.25">
      <c r="B3" s="17" t="s">
        <v>39</v>
      </c>
      <c r="C3" s="17"/>
      <c r="D3" s="17"/>
      <c r="E3" s="17"/>
      <c r="F3" s="17"/>
    </row>
    <row r="4" spans="2:7" x14ac:dyDescent="0.25">
      <c r="B4" s="18" t="s">
        <v>40</v>
      </c>
      <c r="C4" s="18"/>
      <c r="D4" s="18"/>
      <c r="E4" s="18"/>
      <c r="F4" s="18"/>
    </row>
    <row r="5" spans="2:7" x14ac:dyDescent="0.25">
      <c r="B5" s="1"/>
      <c r="C5" s="1"/>
      <c r="D5" s="1"/>
    </row>
    <row r="6" spans="2:7" x14ac:dyDescent="0.25">
      <c r="B6" s="1"/>
      <c r="C6" s="1"/>
      <c r="D6" s="1"/>
      <c r="E6" s="19" t="s">
        <v>0</v>
      </c>
      <c r="F6" s="19"/>
    </row>
    <row r="7" spans="2:7" x14ac:dyDescent="0.25">
      <c r="B7" s="11" t="s">
        <v>1</v>
      </c>
      <c r="C7" s="11"/>
      <c r="D7" s="11"/>
      <c r="E7" s="12" t="s">
        <v>2</v>
      </c>
      <c r="F7" s="12" t="s">
        <v>3</v>
      </c>
    </row>
    <row r="8" spans="2:7" ht="14.45" customHeight="1" x14ac:dyDescent="0.25">
      <c r="B8" s="15" t="s">
        <v>4</v>
      </c>
      <c r="C8" s="15"/>
      <c r="D8" s="15"/>
      <c r="E8" s="2">
        <v>1311575.24</v>
      </c>
      <c r="F8" s="3"/>
    </row>
    <row r="9" spans="2:7" ht="14.45" customHeight="1" x14ac:dyDescent="0.25">
      <c r="B9" s="15" t="s">
        <v>5</v>
      </c>
      <c r="C9" s="15"/>
      <c r="D9" s="15"/>
      <c r="E9" s="2">
        <v>0</v>
      </c>
      <c r="G9" s="3"/>
    </row>
    <row r="10" spans="2:7" x14ac:dyDescent="0.25">
      <c r="B10" s="15" t="s">
        <v>6</v>
      </c>
      <c r="C10" s="15"/>
      <c r="D10" s="15"/>
      <c r="E10" s="2">
        <v>14570.48</v>
      </c>
      <c r="G10" s="3"/>
    </row>
    <row r="11" spans="2:7" x14ac:dyDescent="0.25">
      <c r="B11" s="15" t="s">
        <v>7</v>
      </c>
      <c r="C11" s="15"/>
      <c r="D11" s="15"/>
      <c r="E11" s="2">
        <v>248554.68</v>
      </c>
      <c r="G11" s="3"/>
    </row>
    <row r="12" spans="2:7" x14ac:dyDescent="0.25">
      <c r="B12" s="15" t="s">
        <v>37</v>
      </c>
      <c r="C12" s="15"/>
      <c r="D12" s="15"/>
      <c r="E12" s="2">
        <v>88926.16</v>
      </c>
      <c r="G12" s="3"/>
    </row>
    <row r="13" spans="2:7" x14ac:dyDescent="0.25">
      <c r="B13" s="15" t="s">
        <v>8</v>
      </c>
      <c r="C13" s="15"/>
      <c r="D13" s="15"/>
      <c r="E13" s="2">
        <v>0</v>
      </c>
      <c r="G13" s="3"/>
    </row>
    <row r="14" spans="2:7" ht="14.45" customHeight="1" x14ac:dyDescent="0.25">
      <c r="B14" s="15" t="s">
        <v>9</v>
      </c>
      <c r="C14" s="15"/>
      <c r="D14" s="15"/>
      <c r="E14" s="2">
        <v>13591.32</v>
      </c>
      <c r="G14" s="3"/>
    </row>
    <row r="15" spans="2:7" x14ac:dyDescent="0.25">
      <c r="B15" s="15" t="s">
        <v>10</v>
      </c>
      <c r="C15" s="15"/>
      <c r="D15" s="15"/>
      <c r="E15" s="2">
        <v>3353.75</v>
      </c>
      <c r="G15" s="3"/>
    </row>
    <row r="16" spans="2:7" x14ac:dyDescent="0.25">
      <c r="B16" s="15" t="s">
        <v>11</v>
      </c>
      <c r="C16" s="15"/>
      <c r="D16" s="15"/>
      <c r="E16" s="2">
        <v>29283.84</v>
      </c>
      <c r="G16" s="3"/>
    </row>
    <row r="17" spans="2:8" x14ac:dyDescent="0.25">
      <c r="B17" s="15" t="s">
        <v>12</v>
      </c>
      <c r="C17" s="15"/>
      <c r="D17" s="15"/>
      <c r="E17" s="2">
        <v>5361.02</v>
      </c>
      <c r="G17" s="3"/>
    </row>
    <row r="18" spans="2:8" x14ac:dyDescent="0.25">
      <c r="B18" s="15" t="s">
        <v>13</v>
      </c>
      <c r="C18" s="15"/>
      <c r="D18" s="15"/>
      <c r="E18" s="2">
        <v>34702.559999999998</v>
      </c>
      <c r="G18" s="3"/>
    </row>
    <row r="19" spans="2:8" x14ac:dyDescent="0.25">
      <c r="B19" s="15" t="s">
        <v>14</v>
      </c>
      <c r="C19" s="15"/>
      <c r="D19" s="15"/>
      <c r="E19" s="7">
        <v>0</v>
      </c>
      <c r="G19" s="3"/>
    </row>
    <row r="20" spans="2:8" x14ac:dyDescent="0.25">
      <c r="B20" s="15" t="s">
        <v>15</v>
      </c>
      <c r="C20" s="15"/>
      <c r="D20" s="15"/>
      <c r="E20" s="2">
        <v>10806.01</v>
      </c>
      <c r="F20" s="3"/>
      <c r="G20" s="3"/>
    </row>
    <row r="21" spans="2:8" x14ac:dyDescent="0.25">
      <c r="B21" s="8"/>
      <c r="C21" s="8"/>
      <c r="D21" s="8"/>
      <c r="E21" s="2"/>
      <c r="F21" s="3"/>
      <c r="G21" s="3"/>
    </row>
    <row r="22" spans="2:8" x14ac:dyDescent="0.25">
      <c r="B22" s="4" t="s">
        <v>16</v>
      </c>
      <c r="E22" s="2"/>
      <c r="F22" s="5">
        <f>SUM(E8:E21)</f>
        <v>1760725.06</v>
      </c>
      <c r="G22" s="5"/>
      <c r="H22" s="5"/>
    </row>
    <row r="23" spans="2:8" x14ac:dyDescent="0.25">
      <c r="H23" s="5"/>
    </row>
    <row r="24" spans="2:8" x14ac:dyDescent="0.25">
      <c r="B24" s="16" t="s">
        <v>17</v>
      </c>
      <c r="C24" s="16"/>
      <c r="D24" s="16"/>
      <c r="E24" s="16"/>
      <c r="F24" s="16"/>
      <c r="H24" s="5"/>
    </row>
    <row r="25" spans="2:8" ht="14.45" customHeight="1" x14ac:dyDescent="0.25">
      <c r="B25" s="15" t="s">
        <v>18</v>
      </c>
      <c r="C25" s="15"/>
      <c r="D25" s="15"/>
      <c r="E25" s="2">
        <v>49738</v>
      </c>
    </row>
    <row r="26" spans="2:8" x14ac:dyDescent="0.25">
      <c r="B26" s="15" t="s">
        <v>19</v>
      </c>
      <c r="C26" s="15"/>
      <c r="D26" s="15"/>
      <c r="E26" s="2">
        <v>0</v>
      </c>
    </row>
    <row r="27" spans="2:8" x14ac:dyDescent="0.25">
      <c r="B27" s="15" t="s">
        <v>20</v>
      </c>
      <c r="C27" s="15"/>
      <c r="D27" s="15"/>
      <c r="E27" s="2">
        <v>0</v>
      </c>
    </row>
    <row r="28" spans="2:8" x14ac:dyDescent="0.25">
      <c r="B28" s="15" t="s">
        <v>21</v>
      </c>
      <c r="C28" s="15"/>
      <c r="D28" s="15"/>
      <c r="E28" s="2">
        <v>0</v>
      </c>
    </row>
    <row r="29" spans="2:8" x14ac:dyDescent="0.25">
      <c r="B29" s="15" t="s">
        <v>22</v>
      </c>
      <c r="C29" s="15"/>
      <c r="D29" s="15"/>
      <c r="E29" s="2">
        <v>136354.51999999999</v>
      </c>
    </row>
    <row r="30" spans="2:8" x14ac:dyDescent="0.25">
      <c r="B30" s="15" t="s">
        <v>23</v>
      </c>
      <c r="C30" s="15"/>
      <c r="D30" s="15"/>
      <c r="E30" s="2">
        <v>0</v>
      </c>
    </row>
    <row r="31" spans="2:8" x14ac:dyDescent="0.25">
      <c r="B31" s="15" t="s">
        <v>24</v>
      </c>
      <c r="C31" s="15"/>
      <c r="D31" s="15"/>
      <c r="E31" s="2">
        <v>0</v>
      </c>
    </row>
    <row r="32" spans="2:8" x14ac:dyDescent="0.25">
      <c r="B32" s="15" t="s">
        <v>25</v>
      </c>
      <c r="C32" s="15"/>
      <c r="D32" s="15"/>
      <c r="E32" s="2">
        <v>0</v>
      </c>
    </row>
    <row r="33" spans="2:11" x14ac:dyDescent="0.25">
      <c r="B33" s="15" t="s">
        <v>26</v>
      </c>
      <c r="C33" s="15"/>
      <c r="D33" s="15"/>
      <c r="E33" s="2">
        <v>0</v>
      </c>
    </row>
    <row r="34" spans="2:11" x14ac:dyDescent="0.25">
      <c r="B34" s="15" t="s">
        <v>27</v>
      </c>
      <c r="C34" s="15"/>
      <c r="D34" s="15"/>
      <c r="E34" s="2">
        <v>0</v>
      </c>
      <c r="K34" s="2"/>
    </row>
    <row r="35" spans="2:11" x14ac:dyDescent="0.25">
      <c r="B35" s="15" t="s">
        <v>28</v>
      </c>
      <c r="C35" s="15"/>
      <c r="D35" s="15"/>
      <c r="E35" s="2">
        <v>14197.45</v>
      </c>
    </row>
    <row r="36" spans="2:11" x14ac:dyDescent="0.25">
      <c r="B36" s="15" t="s">
        <v>29</v>
      </c>
      <c r="C36" s="15"/>
      <c r="D36" s="15"/>
      <c r="E36" s="2">
        <v>0</v>
      </c>
    </row>
    <row r="37" spans="2:11" x14ac:dyDescent="0.25">
      <c r="B37" s="15" t="s">
        <v>30</v>
      </c>
      <c r="C37" s="15"/>
      <c r="D37" s="15"/>
      <c r="E37" s="2">
        <v>0</v>
      </c>
    </row>
    <row r="38" spans="2:11" x14ac:dyDescent="0.25">
      <c r="B38" s="15" t="s">
        <v>31</v>
      </c>
      <c r="C38" s="15"/>
      <c r="D38" s="15"/>
      <c r="E38" s="2">
        <v>0</v>
      </c>
    </row>
    <row r="39" spans="2:11" x14ac:dyDescent="0.25">
      <c r="B39" s="15" t="s">
        <v>32</v>
      </c>
      <c r="C39" s="15"/>
      <c r="D39" s="15"/>
      <c r="E39" s="2">
        <v>0</v>
      </c>
    </row>
    <row r="40" spans="2:11" x14ac:dyDescent="0.25">
      <c r="B40" s="15" t="s">
        <v>38</v>
      </c>
      <c r="C40" s="15"/>
      <c r="D40" s="15"/>
      <c r="E40" s="9">
        <v>0</v>
      </c>
    </row>
    <row r="41" spans="2:11" x14ac:dyDescent="0.25">
      <c r="B41" s="4" t="s">
        <v>16</v>
      </c>
      <c r="F41" s="5">
        <f>SUM(E25:E41)</f>
        <v>200289.97</v>
      </c>
    </row>
    <row r="42" spans="2:11" ht="4.5" customHeight="1" x14ac:dyDescent="0.25"/>
    <row r="43" spans="2:11" x14ac:dyDescent="0.25">
      <c r="B43" s="16" t="s">
        <v>33</v>
      </c>
      <c r="C43" s="16"/>
      <c r="D43" s="16"/>
      <c r="E43" s="16"/>
      <c r="F43" s="16"/>
    </row>
    <row r="44" spans="2:11" x14ac:dyDescent="0.25">
      <c r="B44" s="15" t="s">
        <v>34</v>
      </c>
      <c r="C44" s="15"/>
      <c r="D44" s="15"/>
      <c r="E44" s="10">
        <v>34932</v>
      </c>
    </row>
    <row r="45" spans="2:11" x14ac:dyDescent="0.25">
      <c r="B45" s="4" t="s">
        <v>35</v>
      </c>
      <c r="F45" s="6">
        <f>E44</f>
        <v>34932</v>
      </c>
    </row>
    <row r="46" spans="2:11" x14ac:dyDescent="0.25">
      <c r="B46" s="11" t="s">
        <v>36</v>
      </c>
      <c r="C46" s="13"/>
      <c r="D46" s="13"/>
      <c r="E46" s="13"/>
      <c r="F46" s="14">
        <f>F22-F41+F45</f>
        <v>1595367.09</v>
      </c>
      <c r="G46" s="2"/>
      <c r="H46" s="5"/>
    </row>
    <row r="48" spans="2:11" x14ac:dyDescent="0.25">
      <c r="F48" s="5"/>
      <c r="G48" s="5"/>
    </row>
    <row r="49" spans="6:6" x14ac:dyDescent="0.25">
      <c r="F49" s="5"/>
    </row>
    <row r="75" spans="3:3" x14ac:dyDescent="0.25">
      <c r="C75" s="2"/>
    </row>
    <row r="76" spans="3:3" x14ac:dyDescent="0.25">
      <c r="C76" s="2"/>
    </row>
  </sheetData>
  <mergeCells count="35">
    <mergeCell ref="B10:D10"/>
    <mergeCell ref="B3:F3"/>
    <mergeCell ref="B4:F4"/>
    <mergeCell ref="E6:F6"/>
    <mergeCell ref="B8:D8"/>
    <mergeCell ref="B9:D9"/>
    <mergeCell ref="B25:D25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4:F24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B39:D39"/>
    <mergeCell ref="B40:D40"/>
    <mergeCell ref="B43:F43"/>
    <mergeCell ref="B44:D44"/>
  </mergeCells>
  <printOptions horizontalCentered="1"/>
  <pageMargins left="0.59055118110236227" right="0.59055118110236227" top="0.78740157480314965" bottom="0.78740157480314965" header="0.31496062992125984" footer="0.31496062992125984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ENERO</vt:lpstr>
      <vt:lpstr>ENERO!Área_de_impresión</vt:lpstr>
      <vt:lpstr>ENERO!Títulos_a_imprimir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pc</cp:lastModifiedBy>
  <cp:lastPrinted>2026-04-19T23:29:05Z</cp:lastPrinted>
  <dcterms:created xsi:type="dcterms:W3CDTF">2021-10-20T02:11:22Z</dcterms:created>
  <dcterms:modified xsi:type="dcterms:W3CDTF">2026-04-19T23:29:07Z</dcterms:modified>
</cp:coreProperties>
</file>