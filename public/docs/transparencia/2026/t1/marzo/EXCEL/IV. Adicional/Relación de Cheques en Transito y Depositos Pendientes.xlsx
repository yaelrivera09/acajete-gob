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CAJETE 2026-2029\03.- ESTADOS FINANCIEROS\03.- Marzo\EXCEL\IV. Adicional\"/>
    </mc:Choice>
  </mc:AlternateContent>
  <bookViews>
    <workbookView xWindow="-120" yWindow="-120" windowWidth="20730" windowHeight="11040" firstSheet="13" activeTab="15"/>
  </bookViews>
  <sheets>
    <sheet name="Cheques 1.1.1.2.02.67" sheetId="2" r:id="rId1"/>
    <sheet name="Cheques 1.1.1.2.02.68" sheetId="7" r:id="rId2"/>
    <sheet name="Cheques 1.1.1.2.02.69" sheetId="1" r:id="rId3"/>
    <sheet name="Cheques 1.1.1.2.02.70" sheetId="5" r:id="rId4"/>
    <sheet name="Cheques 1.1.1.2.05.03" sheetId="3" r:id="rId5"/>
    <sheet name="Cheques 1.1.1.2.05.04" sheetId="6" r:id="rId6"/>
    <sheet name="Cheques 1.1.1.2.05.05" sheetId="8" r:id="rId7"/>
    <sheet name=" Cheques 1.1.1.2.05.06" sheetId="4" r:id="rId8"/>
    <sheet name="Depositos 1.1.1.2.02.67" sheetId="9" r:id="rId9"/>
    <sheet name="Depositos 1.1.1.2.02.68" sheetId="10" r:id="rId10"/>
    <sheet name="Depositos 1.1.1.2.02.69" sheetId="11" r:id="rId11"/>
    <sheet name="Depositos 1.1.1.2.02.70" sheetId="12" r:id="rId12"/>
    <sheet name="Depositos 1.1.1.2.05.03" sheetId="13" r:id="rId13"/>
    <sheet name="Depositos 1.1.1.2.05.04" sheetId="14" r:id="rId14"/>
    <sheet name="Depositos 1.1.1.2.05.05" sheetId="15" r:id="rId15"/>
    <sheet name="Depositos 1.1.1.2.05.06" sheetId="16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Print_Area" localSheetId="12">'Depositos 1.1.1.2.05.03'!$A$1:$F$39</definedName>
    <definedName name="_xlnm.Print_Area" localSheetId="15">'Depositos 1.1.1.2.05.06'!$A$1:$F$67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8" i="16" l="1"/>
  <c r="B15" i="16"/>
  <c r="E23" i="15" l="1"/>
  <c r="B15" i="15"/>
  <c r="E21" i="14"/>
  <c r="B15" i="14"/>
  <c r="E21" i="13"/>
  <c r="B15" i="13"/>
  <c r="E21" i="12" l="1"/>
  <c r="B15" i="12"/>
  <c r="E21" i="11"/>
  <c r="B15" i="11"/>
  <c r="E21" i="10"/>
  <c r="B15" i="10"/>
  <c r="E21" i="9"/>
  <c r="B15" i="9"/>
  <c r="F18" i="4" l="1"/>
  <c r="F20" i="8" l="1"/>
  <c r="F18" i="6" l="1"/>
  <c r="F18" i="3" l="1"/>
  <c r="F18" i="5" l="1"/>
  <c r="F18" i="1" l="1"/>
  <c r="F18" i="7" l="1"/>
  <c r="F18" i="2" l="1"/>
</calcChain>
</file>

<file path=xl/sharedStrings.xml><?xml version="1.0" encoding="utf-8"?>
<sst xmlns="http://schemas.openxmlformats.org/spreadsheetml/2006/main" count="304" uniqueCount="106">
  <si>
    <t>SF/UACM/IA-03</t>
  </si>
  <si>
    <t>H. AYUNTAMIENTO CONSTITUCIONAL DE ACAJETE, VER.</t>
  </si>
  <si>
    <t>RELACIÓN DE CHEQUES EN TRÁNSITO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</si>
  <si>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 FAISMUN 2025</t>
    </r>
  </si>
  <si>
    <t xml:space="preserve"> </t>
  </si>
  <si>
    <t>FAISMUN 2025</t>
  </si>
  <si>
    <t>N° DE CUENTA:  0124217357</t>
  </si>
  <si>
    <t>CTA CONTABLE: 1.1.1.2.02.69</t>
  </si>
  <si>
    <t>INSTITUCIÓN BANCARIA: BBVA BANCOMER</t>
  </si>
  <si>
    <t xml:space="preserve"> SUCURSAL: 7714 GOBIERNO XALAPA</t>
  </si>
  <si>
    <t>FECHA</t>
  </si>
  <si>
    <t>N° DE CHEQUE</t>
  </si>
  <si>
    <t>BENEFICIARIO</t>
  </si>
  <si>
    <t>CONCEPTO</t>
  </si>
  <si>
    <t>IMPORTE</t>
  </si>
  <si>
    <t>TOTAL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</si>
  <si>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INGRESOS PROPIOS 2025</t>
    </r>
  </si>
  <si>
    <t>INGRESOS 2025</t>
  </si>
  <si>
    <t>N° DE CUENTA: 0124217330</t>
  </si>
  <si>
    <t>CTA CONTABLE: 1.1.1.2.02.67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</si>
  <si>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 FAISMUN</t>
    </r>
  </si>
  <si>
    <t>FAISMUN 2026</t>
  </si>
  <si>
    <t>N° DE CUENTA:  18-00035025-5</t>
  </si>
  <si>
    <t>CTA CONTABLE: 1.1.1.2.05.03</t>
  </si>
  <si>
    <r>
      <t xml:space="preserve">INSTITUCIÓN BANCARIA: </t>
    </r>
    <r>
      <rPr>
        <sz val="10"/>
        <color indexed="8"/>
        <rFont val="Arial"/>
        <family val="2"/>
      </rPr>
      <t xml:space="preserve">SANTANDER </t>
    </r>
  </si>
  <si>
    <t xml:space="preserve"> SUCURSAL:1760 SUC. AMERICAS XALAPA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</si>
  <si>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 INGRESOS FISCALES 2026</t>
    </r>
  </si>
  <si>
    <t>FISCALES 2026</t>
  </si>
  <si>
    <t>N° DE CUENTA: 18-00034992-9</t>
  </si>
  <si>
    <t>CTA CONTABLE: 1.1.1.2.05.06</t>
  </si>
  <si>
    <t>INSTITUCIÓN BANCARIA: SANTANDER</t>
  </si>
  <si>
    <t xml:space="preserve"> SUCURSAL: 1760 SUC. AMERICAS XALAPA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</si>
  <si>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 FORTAMUN 2025</t>
    </r>
  </si>
  <si>
    <t>FORTAMUN 2025</t>
  </si>
  <si>
    <t>N° DE CUENTA: 0124217276</t>
  </si>
  <si>
    <t>CTA CONTABLE:  1.1.1.2.02.70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</si>
  <si>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 FORTAMUN 2026</t>
    </r>
  </si>
  <si>
    <t>FORTAMUN 2026</t>
  </si>
  <si>
    <t>N° DE CUENTA: 18-00035037-7</t>
  </si>
  <si>
    <t>CTA CONTABLE: 1.1.1.2.05.04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</si>
  <si>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PARTICIPACIONES 2025</t>
    </r>
  </si>
  <si>
    <t>PARTICIPACIONES 2025</t>
  </si>
  <si>
    <t>N° DE CUENTA: 0124217365</t>
  </si>
  <si>
    <t>CTA CONTABLE: 1.1.1.2.02.68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</si>
  <si>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PARTICIPACIONES 2026</t>
    </r>
  </si>
  <si>
    <t>PARTICIPACIONES 2026</t>
  </si>
  <si>
    <t>N° DE CUENTA: 18-00035217-9</t>
  </si>
  <si>
    <t>CTA CONTABLE: 1.1.1.2.05.05</t>
  </si>
  <si>
    <t>MUNCIPIO DE ACAJETE</t>
  </si>
  <si>
    <t>F1501 | MÚLTIPLE | MUNICIPIO DE ACAJETE | PAGO DE NOMINA PERSONAL DE CONFIANZA CORRESPONDIENTE A LA 2DA QNA DEL MES DE FEBRERO 2026.</t>
  </si>
  <si>
    <t>MUNICIPIO DE ACAJETE</t>
  </si>
  <si>
    <t>DEPÓSITOS PENDIENTES DE REGISTRAR POR EL BANCO</t>
  </si>
  <si>
    <t>N° DE CUENTA:  0124217330</t>
  </si>
  <si>
    <t xml:space="preserve">                           CTA CONTABLE:  1.1.1.2.02.67</t>
  </si>
  <si>
    <t xml:space="preserve">                        SUCURSAL: 7714 GOBIERNO XALAPA</t>
  </si>
  <si>
    <t>REFERENCIA</t>
  </si>
  <si>
    <t>N° DE CUENTA:  0124217365</t>
  </si>
  <si>
    <t xml:space="preserve">                           CTA CONTABLE:  1.1.1.2.02.68</t>
  </si>
  <si>
    <t>N° DE CUENTA:   0124217357</t>
  </si>
  <si>
    <t xml:space="preserve">                           CTA CONTABLE:  1.1.1.2.02.69</t>
  </si>
  <si>
    <r>
      <t xml:space="preserve">                        SUCURSAL: </t>
    </r>
    <r>
      <rPr>
        <sz val="10"/>
        <color theme="1"/>
        <rFont val="Arial"/>
        <family val="2"/>
      </rPr>
      <t>7714 GOBIERNO XALAPA</t>
    </r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</si>
  <si>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FORTAMUN 2025</t>
    </r>
  </si>
  <si>
    <t>N° DE CUENTA:  0124217276</t>
  </si>
  <si>
    <t xml:space="preserve">                           CTA CONTABLE:  1.1.1.2.02.70</t>
  </si>
  <si>
    <t>SALDO DEL ESTADO DE CUENTA BANCARIO AL 28 DE FEBRERO DE 2026</t>
  </si>
  <si>
    <t xml:space="preserve">                           CTA CONTABLE:  1.1.1.2.05.03</t>
  </si>
  <si>
    <r>
      <t xml:space="preserve">                        SUCURSAL: </t>
    </r>
    <r>
      <rPr>
        <sz val="10"/>
        <color theme="1"/>
        <rFont val="Arial"/>
        <family val="2"/>
      </rPr>
      <t>1760 SUC. AMERICAS XALAPA</t>
    </r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</si>
  <si>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FORTAMUN 2026</t>
    </r>
  </si>
  <si>
    <t>N° DE CUENTA:  18-00035037-7</t>
  </si>
  <si>
    <t xml:space="preserve">                           CTA CONTABLE: 1.1.1.2.05.04</t>
  </si>
  <si>
    <t xml:space="preserve">                        SUCURSAL: 1760 SUC. AMERICAS XALAPA</t>
  </si>
  <si>
    <t>N° DE CUENTA:  18-00035217-9</t>
  </si>
  <si>
    <t xml:space="preserve">                           CTA CONTABLE:  1.1.1.2.05.05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</si>
  <si>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INGRESOS FISCALES 2026</t>
    </r>
  </si>
  <si>
    <t>N° DE CUENTA:  18-00034992-9</t>
  </si>
  <si>
    <t xml:space="preserve">                           CTA CONTABLE: 1.1.1.2.05.06</t>
  </si>
  <si>
    <t>AL MES DE : MARZO DE 2026</t>
  </si>
  <si>
    <t>SSE/0844/2026</t>
  </si>
  <si>
    <t>FONDO DE APORTACIONES PARA LA INFRAESTRUCTURA SOCIAL MUNICIPAL</t>
  </si>
  <si>
    <t>FONDO DE APORTACIONES PARA EL FORTALECIMIENTO DE LOS MUNICIPIOS</t>
  </si>
  <si>
    <t>SSE/0845/2026</t>
  </si>
  <si>
    <t>FONDO ESPECIAL I.E.P.S</t>
  </si>
  <si>
    <t>FONDO DE FOMENTO MUNICIPAL</t>
  </si>
  <si>
    <t>I.S.A.N</t>
  </si>
  <si>
    <t>ISR PARTICIPABLE</t>
  </si>
  <si>
    <t>31/03/2026</t>
  </si>
  <si>
    <t>REGISTRO DEL DEPOSITO DE LA RECAUDACION DEL DIA 02 DE MARZO DE 2026</t>
  </si>
  <si>
    <t>REGISTRO DEL DEPOSITO DE LA RECAUDACION DEL DIA 03 DE MARZO DE 2026</t>
  </si>
  <si>
    <t>REGISTRO DEL DEPOSITO DE LA RECAUDACION DEL DIA 04 DE MARZO DE 2026</t>
  </si>
  <si>
    <t>REGISTRO DEL DEPOSITO DE LA RECAUDACION DEL DIA 05 DE MARZO DE 2026</t>
  </si>
  <si>
    <t>REGISTRO DEL DEPOSITO DE LA RECAUDACION DEL DIA 06 DE MARZO DE 2026</t>
  </si>
  <si>
    <t>REGISTRO DEL DEPOSITO DE LA RECAUDACION DEL DIA 09 DE MARZO DE 2026</t>
  </si>
  <si>
    <t>REGISTRO DEL DEPOSITO DE LA RECAUDACION DEL DIA 10 DE MARZO DE 2026</t>
  </si>
  <si>
    <t>REGISTRO DEL DEPOSITO DE LA RECAUDACION DEL DIA 11 DE MARZO DE 2026</t>
  </si>
  <si>
    <t>REGISTRO DEL DEPOSITO DE LA RECAUDACION DEL DIA 12 DE MARZO DE 2026</t>
  </si>
  <si>
    <t>REGISTRO DEL DEPOSITO DE LA RECAUDACION DEL DIA 13 DE MARZO DE 2026</t>
  </si>
  <si>
    <t>REGISTRO DEL DEPOSITO DE LA RECAUDACION DEL DIA 17 DE MARZO DE 2026</t>
  </si>
  <si>
    <t>REGISTRO DEL DEPOSITO DE LA RECAUDACION DEL DIA 18 DE MARZO DE 2026</t>
  </si>
  <si>
    <t>REGISTRO DEL DEPOSITO DE LA RECAUDACION DEL DIA 20 DE MARZO DE 2026</t>
  </si>
  <si>
    <t>REGISTRO DEL DEPOSITO DE LA RECAUDACION DEL DIA 23 DE MARZO DE 2026</t>
  </si>
  <si>
    <t>REGISTRO DEL DEPOSITO DE LA RECAUDACION DEL DIA 24 DE MARZO DE 2026</t>
  </si>
  <si>
    <t>REGISTRO DEL DEPOSITO DE LA RECAUDACION DEL DIA 25 DE MARZO DE 2026</t>
  </si>
  <si>
    <t>REGISTRO DEL DEPOSITO DE LA RECAUDACION DEL DIA 26 DE MARZO DE 2026</t>
  </si>
  <si>
    <t>REGISTRO DEL DEPOSITO DE LA RECAUDACION DEL DIA 27 DE MARZO DE 2026</t>
  </si>
  <si>
    <t>REGISTRO DEL DEPOSITO DE LA RECAUDACION DEL DIA 30 DE MARZO DE 2026</t>
  </si>
  <si>
    <t>REGISTRO DEL DEPOSITO DE LA RECAUDACION DEL DIA 31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</si>
</sst>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color indexed="8"/>
      <name val="Arial"/>
      <family val="2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4" fillId="0" borderId="0" xfId="0" quotePrefix="1" applyFont="1" applyAlignment="1">
      <alignment vertical="center"/>
    </xf>
    <xf numFmtId="0" fontId="0" fillId="0" borderId="5" xfId="0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5" xfId="3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vertical="center" wrapText="1"/>
    </xf>
    <xf numFmtId="14" fontId="10" fillId="0" borderId="6" xfId="0" quotePrefix="1" applyNumberFormat="1" applyFont="1" applyBorder="1" applyAlignment="1">
      <alignment horizontal="center" vertical="center" wrapText="1"/>
    </xf>
    <xf numFmtId="0" fontId="10" fillId="0" borderId="6" xfId="0" quotePrefix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justify" vertical="center" wrapText="1"/>
    </xf>
    <xf numFmtId="43" fontId="10" fillId="0" borderId="6" xfId="1" quotePrefix="1" applyFont="1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44" fontId="4" fillId="2" borderId="6" xfId="0" quotePrefix="1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1" fillId="0" borderId="0" xfId="0" applyFont="1" applyAlignment="1">
      <alignment vertical="center"/>
    </xf>
    <xf numFmtId="44" fontId="11" fillId="0" borderId="0" xfId="2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44" fontId="11" fillId="0" borderId="4" xfId="2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5" fillId="0" borderId="0" xfId="0" applyFont="1" applyAlignment="1">
      <alignment vertical="center"/>
    </xf>
    <xf numFmtId="4" fontId="0" fillId="0" borderId="5" xfId="0" applyNumberFormat="1" applyBorder="1" applyAlignment="1">
      <alignment vertical="center" wrapText="1"/>
    </xf>
    <xf numFmtId="14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43" fontId="10" fillId="0" borderId="6" xfId="1" applyFont="1" applyFill="1" applyBorder="1" applyAlignment="1">
      <alignment horizontal="center" vertical="center"/>
    </xf>
    <xf numFmtId="43" fontId="4" fillId="2" borderId="6" xfId="0" quotePrefix="1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3" fillId="0" borderId="2" xfId="0" applyFont="1" applyBorder="1" applyAlignment="1">
      <alignment horizontal="left" indent="2"/>
    </xf>
    <xf numFmtId="0" fontId="0" fillId="0" borderId="3" xfId="0" applyBorder="1"/>
    <xf numFmtId="0" fontId="0" fillId="0" borderId="4" xfId="0" applyBorder="1"/>
    <xf numFmtId="0" fontId="4" fillId="0" borderId="0" xfId="0" quotePrefix="1" applyFont="1"/>
    <xf numFmtId="0" fontId="0" fillId="0" borderId="5" xfId="0" applyBorder="1"/>
    <xf numFmtId="0" fontId="6" fillId="0" borderId="0" xfId="0" applyFont="1" applyAlignment="1">
      <alignment horizontal="center"/>
    </xf>
    <xf numFmtId="0" fontId="9" fillId="0" borderId="5" xfId="3" applyFont="1" applyBorder="1"/>
    <xf numFmtId="0" fontId="4" fillId="0" borderId="0" xfId="0" applyFont="1"/>
    <xf numFmtId="0" fontId="4" fillId="0" borderId="5" xfId="0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5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10" fillId="0" borderId="6" xfId="0" quotePrefix="1" applyNumberFormat="1" applyFont="1" applyBorder="1" applyAlignment="1">
      <alignment horizontal="center" vertical="center"/>
    </xf>
    <xf numFmtId="43" fontId="10" fillId="0" borderId="6" xfId="4" quotePrefix="1" applyFont="1" applyBorder="1" applyAlignment="1">
      <alignment horizontal="left" vertical="center"/>
    </xf>
    <xf numFmtId="0" fontId="11" fillId="0" borderId="4" xfId="0" applyFont="1" applyBorder="1"/>
    <xf numFmtId="0" fontId="11" fillId="0" borderId="0" xfId="0" applyFont="1"/>
    <xf numFmtId="44" fontId="11" fillId="0" borderId="0" xfId="5" applyFont="1"/>
    <xf numFmtId="0" fontId="13" fillId="0" borderId="5" xfId="0" applyFont="1" applyBorder="1" applyAlignment="1">
      <alignment horizontal="center" vertical="center"/>
    </xf>
    <xf numFmtId="44" fontId="11" fillId="0" borderId="4" xfId="5" applyFont="1" applyBorder="1"/>
    <xf numFmtId="0" fontId="10" fillId="0" borderId="0" xfId="0" applyFont="1"/>
    <xf numFmtId="0" fontId="4" fillId="0" borderId="0" xfId="0" applyFont="1" applyAlignment="1">
      <alignment horizontal="right"/>
    </xf>
    <xf numFmtId="0" fontId="0" fillId="0" borderId="10" xfId="0" applyBorder="1"/>
    <xf numFmtId="0" fontId="0" fillId="0" borderId="11" xfId="0" applyBorder="1"/>
    <xf numFmtId="0" fontId="2" fillId="0" borderId="11" xfId="0" applyFont="1" applyBorder="1" applyAlignment="1">
      <alignment horizontal="right"/>
    </xf>
    <xf numFmtId="0" fontId="0" fillId="0" borderId="12" xfId="0" applyBorder="1"/>
    <xf numFmtId="4" fontId="2" fillId="0" borderId="0" xfId="0" applyNumberFormat="1" applyFont="1" applyAlignment="1">
      <alignment horizontal="center"/>
    </xf>
    <xf numFmtId="44" fontId="11" fillId="0" borderId="0" xfId="5" applyFont="1" applyBorder="1"/>
    <xf numFmtId="0" fontId="4" fillId="0" borderId="0" xfId="0" applyFont="1" applyAlignment="1">
      <alignment horizontal="center" vertical="center"/>
    </xf>
    <xf numFmtId="14" fontId="10" fillId="0" borderId="7" xfId="0" quotePrefix="1" applyNumberFormat="1" applyFont="1" applyBorder="1" applyAlignment="1">
      <alignment horizontal="center" vertical="center" wrapText="1"/>
    </xf>
    <xf numFmtId="14" fontId="10" fillId="0" borderId="8" xfId="0" quotePrefix="1" applyNumberFormat="1" applyFont="1" applyBorder="1" applyAlignment="1">
      <alignment horizontal="center" vertical="center" wrapText="1"/>
    </xf>
    <xf numFmtId="14" fontId="10" fillId="0" borderId="9" xfId="0" quotePrefix="1" applyNumberFormat="1" applyFont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3" applyFont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0" fillId="0" borderId="0" xfId="0" applyBorder="1"/>
    <xf numFmtId="0" fontId="4" fillId="0" borderId="0" xfId="0" quotePrefix="1" applyFont="1" applyBorder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8" fillId="0" borderId="0" xfId="3" applyFont="1" applyBorder="1" applyAlignment="1">
      <alignment horizontal="center"/>
    </xf>
    <xf numFmtId="0" fontId="4" fillId="0" borderId="0" xfId="0" applyFont="1" applyBorder="1"/>
    <xf numFmtId="0" fontId="0" fillId="0" borderId="0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indent="5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3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10" fillId="0" borderId="0" xfId="0" applyFont="1" applyBorder="1"/>
    <xf numFmtId="0" fontId="4" fillId="0" borderId="0" xfId="0" applyFont="1" applyBorder="1" applyAlignment="1">
      <alignment horizontal="right"/>
    </xf>
    <xf numFmtId="0" fontId="11" fillId="0" borderId="0" xfId="0" applyFont="1" applyBorder="1"/>
    <xf numFmtId="0" fontId="10" fillId="0" borderId="6" xfId="0" applyFont="1" applyBorder="1" applyAlignment="1">
      <alignment horizontal="left" vertical="center"/>
    </xf>
    <xf numFmtId="0" fontId="15" fillId="0" borderId="0" xfId="0" applyFont="1" applyBorder="1" applyAlignment="1">
      <alignment vertical="center"/>
    </xf>
  </cellXfs>
  <cellStyles count="6">
    <cellStyle name="Millares" xfId="1" builtinId="3"/>
    <cellStyle name="Millares 3 2" xfId="4"/>
    <cellStyle name="Moneda" xfId="2" builtinId="4"/>
    <cellStyle name="Moneda 4 2" xfId="5"/>
    <cellStyle name="Normal" xfId="0" builtinId="0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36A30C3-0275-401C-9638-D41FDA4BB098}"/>
            </a:ext>
          </a:extLst>
        </xdr:cNvPr>
        <xdr:cNvSpPr/>
      </xdr:nvSpPr>
      <xdr:spPr>
        <a:xfrm rot="21333714">
          <a:off x="1737360" y="286512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1</xdr:col>
      <xdr:colOff>60960</xdr:colOff>
      <xdr:row>20</xdr:row>
      <xdr:rowOff>129540</xdr:rowOff>
    </xdr:from>
    <xdr:to>
      <xdr:col>5</xdr:col>
      <xdr:colOff>790577</xdr:colOff>
      <xdr:row>31</xdr:row>
      <xdr:rowOff>4990</xdr:rowOff>
    </xdr:to>
    <xdr:grpSp>
      <xdr:nvGrpSpPr>
        <xdr:cNvPr id="3" name="9 Grupo">
          <a:extLst>
            <a:ext uri="{FF2B5EF4-FFF2-40B4-BE49-F238E27FC236}">
              <a16:creationId xmlns:a16="http://schemas.microsoft.com/office/drawing/2014/main" id="{06728DCF-1176-436A-98A7-89BE87BE8536}"/>
            </a:ext>
          </a:extLst>
        </xdr:cNvPr>
        <xdr:cNvGrpSpPr/>
      </xdr:nvGrpSpPr>
      <xdr:grpSpPr>
        <a:xfrm>
          <a:off x="236965" y="4012013"/>
          <a:ext cx="7987253" cy="1915042"/>
          <a:chOff x="339769" y="8181396"/>
          <a:chExt cx="5996201" cy="1915443"/>
        </a:xfrm>
      </xdr:grpSpPr>
      <xdr:grpSp>
        <xdr:nvGrpSpPr>
          <xdr:cNvPr id="4" name="10 Grupo">
            <a:extLst>
              <a:ext uri="{FF2B5EF4-FFF2-40B4-BE49-F238E27FC236}">
                <a16:creationId xmlns:a16="http://schemas.microsoft.com/office/drawing/2014/main" id="{2810C338-236D-E4AF-D63D-177A42BE4C4B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6" name="12 CuadroTexto">
              <a:extLst>
                <a:ext uri="{FF2B5EF4-FFF2-40B4-BE49-F238E27FC236}">
                  <a16:creationId xmlns:a16="http://schemas.microsoft.com/office/drawing/2014/main" id="{68EFB767-530E-5F84-3B01-59E8FF45AE3B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7" name="13 CuadroTexto">
              <a:extLst>
                <a:ext uri="{FF2B5EF4-FFF2-40B4-BE49-F238E27FC236}">
                  <a16:creationId xmlns:a16="http://schemas.microsoft.com/office/drawing/2014/main" id="{B6CD6F2A-8E5E-300C-29DE-B12EDAA11AE7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8" name="14 CuadroTexto">
              <a:extLst>
                <a:ext uri="{FF2B5EF4-FFF2-40B4-BE49-F238E27FC236}">
                  <a16:creationId xmlns:a16="http://schemas.microsoft.com/office/drawing/2014/main" id="{851F5A59-4DAE-D278-5195-3EBA010C89E5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9" name="15 CuadroTexto">
              <a:extLst>
                <a:ext uri="{FF2B5EF4-FFF2-40B4-BE49-F238E27FC236}">
                  <a16:creationId xmlns:a16="http://schemas.microsoft.com/office/drawing/2014/main" id="{8BAA508D-CBD3-DCDE-40BF-333D4639133B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5" name="11 CuadroTexto">
            <a:extLst>
              <a:ext uri="{FF2B5EF4-FFF2-40B4-BE49-F238E27FC236}">
                <a16:creationId xmlns:a16="http://schemas.microsoft.com/office/drawing/2014/main" id="{288628C8-7AE9-CF52-CA49-DC0E6EE95DE3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1007961</xdr:colOff>
      <xdr:row>6</xdr:row>
      <xdr:rowOff>106681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1845F39-EAB8-4B03-8100-759EDBAF1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556345</xdr:colOff>
      <xdr:row>6</xdr:row>
      <xdr:rowOff>18371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A675F0C-422F-4E3A-A69E-7410BADEB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6</xdr:row>
      <xdr:rowOff>125731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0FDD3BE-156D-4DEE-B234-D71FC5E19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260986"/>
          <a:ext cx="1015581" cy="988695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43136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6150ADC-0CEC-44DC-AF62-BF9A71499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" y="184785"/>
          <a:ext cx="952585" cy="9823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3B48CFD9-7B7F-4679-9C0A-14F182C4F0F5}"/>
            </a:ext>
          </a:extLst>
        </xdr:cNvPr>
        <xdr:cNvSpPr/>
      </xdr:nvSpPr>
      <xdr:spPr>
        <a:xfrm rot="21333714">
          <a:off x="1737360" y="286512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5</xdr:col>
      <xdr:colOff>0</xdr:colOff>
      <xdr:row>1</xdr:row>
      <xdr:rowOff>99061</xdr:rowOff>
    </xdr:from>
    <xdr:to>
      <xdr:col>5</xdr:col>
      <xdr:colOff>1007961</xdr:colOff>
      <xdr:row>6</xdr:row>
      <xdr:rowOff>106681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2E72F56-1DD7-40FB-A620-40A97AF04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556345</xdr:colOff>
      <xdr:row>6</xdr:row>
      <xdr:rowOff>18371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B7F31F-2F72-4E4B-AA6B-18F6B0313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DACE570F-6E56-4D0A-BBA0-8E7CAB45792E}"/>
            </a:ext>
          </a:extLst>
        </xdr:cNvPr>
        <xdr:cNvSpPr/>
      </xdr:nvSpPr>
      <xdr:spPr>
        <a:xfrm rot="21333714">
          <a:off x="1691640" y="28860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1</xdr:col>
      <xdr:colOff>3810</xdr:colOff>
      <xdr:row>24</xdr:row>
      <xdr:rowOff>53340</xdr:rowOff>
    </xdr:from>
    <xdr:to>
      <xdr:col>5</xdr:col>
      <xdr:colOff>1061087</xdr:colOff>
      <xdr:row>35</xdr:row>
      <xdr:rowOff>14515</xdr:rowOff>
    </xdr:to>
    <xdr:grpSp>
      <xdr:nvGrpSpPr>
        <xdr:cNvPr id="13" name="9 Grupo">
          <a:extLst>
            <a:ext uri="{FF2B5EF4-FFF2-40B4-BE49-F238E27FC236}">
              <a16:creationId xmlns:a16="http://schemas.microsoft.com/office/drawing/2014/main" id="{246DA402-1204-4A08-94F5-D9003D1F9B3D}"/>
            </a:ext>
          </a:extLst>
        </xdr:cNvPr>
        <xdr:cNvGrpSpPr/>
      </xdr:nvGrpSpPr>
      <xdr:grpSpPr>
        <a:xfrm>
          <a:off x="180199" y="4733525"/>
          <a:ext cx="8300981" cy="2019046"/>
          <a:chOff x="339769" y="8181396"/>
          <a:chExt cx="5996201" cy="1915443"/>
        </a:xfrm>
      </xdr:grpSpPr>
      <xdr:grpSp>
        <xdr:nvGrpSpPr>
          <xdr:cNvPr id="14" name="10 Grupo">
            <a:extLst>
              <a:ext uri="{FF2B5EF4-FFF2-40B4-BE49-F238E27FC236}">
                <a16:creationId xmlns:a16="http://schemas.microsoft.com/office/drawing/2014/main" id="{F237A17B-6444-E16A-410C-2D15D207B58C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6" name="12 CuadroTexto">
              <a:extLst>
                <a:ext uri="{FF2B5EF4-FFF2-40B4-BE49-F238E27FC236}">
                  <a16:creationId xmlns:a16="http://schemas.microsoft.com/office/drawing/2014/main" id="{8A6A2F02-02BF-319F-6E90-44C12DDF25F7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7" name="13 CuadroTexto">
              <a:extLst>
                <a:ext uri="{FF2B5EF4-FFF2-40B4-BE49-F238E27FC236}">
                  <a16:creationId xmlns:a16="http://schemas.microsoft.com/office/drawing/2014/main" id="{5AC7D08D-FCC7-4E7E-4B30-5B73600711CF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8" name="14 CuadroTexto">
              <a:extLst>
                <a:ext uri="{FF2B5EF4-FFF2-40B4-BE49-F238E27FC236}">
                  <a16:creationId xmlns:a16="http://schemas.microsoft.com/office/drawing/2014/main" id="{A60B2DA6-5AFA-A25C-BECE-D01E12E9BBE8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9" name="15 CuadroTexto">
              <a:extLst>
                <a:ext uri="{FF2B5EF4-FFF2-40B4-BE49-F238E27FC236}">
                  <a16:creationId xmlns:a16="http://schemas.microsoft.com/office/drawing/2014/main" id="{09BA51CB-BEA7-2930-3F30-FE4ED5CD2319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5" name="11 CuadroTexto">
            <a:extLst>
              <a:ext uri="{FF2B5EF4-FFF2-40B4-BE49-F238E27FC236}">
                <a16:creationId xmlns:a16="http://schemas.microsoft.com/office/drawing/2014/main" id="{FC832794-F9EE-C324-5D0A-8BFCE9D76923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6</xdr:row>
      <xdr:rowOff>125731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C8D5EFBA-9A5B-4DB7-9336-8C9D70C56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260986"/>
          <a:ext cx="1015581" cy="988695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43136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4C7B1E4-5838-4DB6-8AD7-E51FA6DA6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" y="184785"/>
          <a:ext cx="952585" cy="9823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12B4B23-7DCA-4324-A425-F85B6C45A6F0}"/>
            </a:ext>
          </a:extLst>
        </xdr:cNvPr>
        <xdr:cNvSpPr/>
      </xdr:nvSpPr>
      <xdr:spPr>
        <a:xfrm rot="21333714">
          <a:off x="1737360" y="286512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5</xdr:col>
      <xdr:colOff>0</xdr:colOff>
      <xdr:row>1</xdr:row>
      <xdr:rowOff>99061</xdr:rowOff>
    </xdr:from>
    <xdr:to>
      <xdr:col>5</xdr:col>
      <xdr:colOff>1007961</xdr:colOff>
      <xdr:row>6</xdr:row>
      <xdr:rowOff>106681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6ED58AE-5E7B-4336-A2DA-899567868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556345</xdr:colOff>
      <xdr:row>6</xdr:row>
      <xdr:rowOff>18371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F6C1C49-37CD-4CC6-B214-9F88C6A91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E1EB404-4912-48E4-AF6D-BBF787412387}"/>
            </a:ext>
          </a:extLst>
        </xdr:cNvPr>
        <xdr:cNvSpPr/>
      </xdr:nvSpPr>
      <xdr:spPr>
        <a:xfrm rot="21333714">
          <a:off x="1691640" y="28860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1</xdr:col>
      <xdr:colOff>51435</xdr:colOff>
      <xdr:row>23</xdr:row>
      <xdr:rowOff>186690</xdr:rowOff>
    </xdr:from>
    <xdr:to>
      <xdr:col>5</xdr:col>
      <xdr:colOff>1108712</xdr:colOff>
      <xdr:row>34</xdr:row>
      <xdr:rowOff>119290</xdr:rowOff>
    </xdr:to>
    <xdr:grpSp>
      <xdr:nvGrpSpPr>
        <xdr:cNvPr id="13" name="9 Grupo">
          <a:extLst>
            <a:ext uri="{FF2B5EF4-FFF2-40B4-BE49-F238E27FC236}">
              <a16:creationId xmlns:a16="http://schemas.microsoft.com/office/drawing/2014/main" id="{DF0BBC4E-361B-4DF4-9782-B3A6883D6663}"/>
            </a:ext>
          </a:extLst>
        </xdr:cNvPr>
        <xdr:cNvGrpSpPr/>
      </xdr:nvGrpSpPr>
      <xdr:grpSpPr>
        <a:xfrm>
          <a:off x="224617" y="4797656"/>
          <a:ext cx="8309265" cy="2064901"/>
          <a:chOff x="339769" y="8181396"/>
          <a:chExt cx="5996201" cy="1915443"/>
        </a:xfrm>
      </xdr:grpSpPr>
      <xdr:grpSp>
        <xdr:nvGrpSpPr>
          <xdr:cNvPr id="14" name="10 Grupo">
            <a:extLst>
              <a:ext uri="{FF2B5EF4-FFF2-40B4-BE49-F238E27FC236}">
                <a16:creationId xmlns:a16="http://schemas.microsoft.com/office/drawing/2014/main" id="{2B17B730-20AB-8148-2EC3-291E691C8B74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6" name="12 CuadroTexto">
              <a:extLst>
                <a:ext uri="{FF2B5EF4-FFF2-40B4-BE49-F238E27FC236}">
                  <a16:creationId xmlns:a16="http://schemas.microsoft.com/office/drawing/2014/main" id="{330CE624-9BC5-92D3-2D03-D816B2F7DDBA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7" name="13 CuadroTexto">
              <a:extLst>
                <a:ext uri="{FF2B5EF4-FFF2-40B4-BE49-F238E27FC236}">
                  <a16:creationId xmlns:a16="http://schemas.microsoft.com/office/drawing/2014/main" id="{37316470-23FC-B445-B811-5FA2920764A1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8" name="14 CuadroTexto">
              <a:extLst>
                <a:ext uri="{FF2B5EF4-FFF2-40B4-BE49-F238E27FC236}">
                  <a16:creationId xmlns:a16="http://schemas.microsoft.com/office/drawing/2014/main" id="{E8A63F98-C526-F48C-CC7C-A8E2D45FD7B5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9" name="15 CuadroTexto">
              <a:extLst>
                <a:ext uri="{FF2B5EF4-FFF2-40B4-BE49-F238E27FC236}">
                  <a16:creationId xmlns:a16="http://schemas.microsoft.com/office/drawing/2014/main" id="{850D6C6D-5588-131C-D4A7-3D81F2ADA1A8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5" name="11 CuadroTexto">
            <a:extLst>
              <a:ext uri="{FF2B5EF4-FFF2-40B4-BE49-F238E27FC236}">
                <a16:creationId xmlns:a16="http://schemas.microsoft.com/office/drawing/2014/main" id="{B0B4A224-9EC0-C00D-7286-DFA58392E41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6</xdr:row>
      <xdr:rowOff>125731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11D475DC-6CCC-43CE-81DC-5E34449B0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260986"/>
          <a:ext cx="1015581" cy="988695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43136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BD515AF-89E9-489A-8C7A-50E3D0B4C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" y="184785"/>
          <a:ext cx="952585" cy="9823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2979EC7-1ED9-4A70-B4A3-82BB6AD23444}"/>
            </a:ext>
          </a:extLst>
        </xdr:cNvPr>
        <xdr:cNvSpPr/>
      </xdr:nvSpPr>
      <xdr:spPr>
        <a:xfrm rot="21333714">
          <a:off x="1737360" y="286512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5</xdr:col>
      <xdr:colOff>0</xdr:colOff>
      <xdr:row>1</xdr:row>
      <xdr:rowOff>99061</xdr:rowOff>
    </xdr:from>
    <xdr:to>
      <xdr:col>5</xdr:col>
      <xdr:colOff>1007961</xdr:colOff>
      <xdr:row>6</xdr:row>
      <xdr:rowOff>139246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63BC5A4-C89C-4B35-A075-57E99C8A6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556345</xdr:colOff>
      <xdr:row>6</xdr:row>
      <xdr:rowOff>50936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F6BB15D-B6F9-43EA-83E0-F7089EEB3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64AA230C-5329-419F-8C2C-CEF90EB99980}"/>
            </a:ext>
          </a:extLst>
        </xdr:cNvPr>
        <xdr:cNvSpPr/>
      </xdr:nvSpPr>
      <xdr:spPr>
        <a:xfrm rot="21333714">
          <a:off x="1691640" y="28860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0</xdr:col>
      <xdr:colOff>156210</xdr:colOff>
      <xdr:row>24</xdr:row>
      <xdr:rowOff>72390</xdr:rowOff>
    </xdr:from>
    <xdr:to>
      <xdr:col>5</xdr:col>
      <xdr:colOff>1042037</xdr:colOff>
      <xdr:row>35</xdr:row>
      <xdr:rowOff>33565</xdr:rowOff>
    </xdr:to>
    <xdr:grpSp>
      <xdr:nvGrpSpPr>
        <xdr:cNvPr id="13" name="9 Grupo">
          <a:extLst>
            <a:ext uri="{FF2B5EF4-FFF2-40B4-BE49-F238E27FC236}">
              <a16:creationId xmlns:a16="http://schemas.microsoft.com/office/drawing/2014/main" id="{86C09873-E005-439C-A0D2-3889D66093D1}"/>
            </a:ext>
          </a:extLst>
        </xdr:cNvPr>
        <xdr:cNvGrpSpPr/>
      </xdr:nvGrpSpPr>
      <xdr:grpSpPr>
        <a:xfrm>
          <a:off x="156210" y="5458942"/>
          <a:ext cx="8308758" cy="2183675"/>
          <a:chOff x="339769" y="8181396"/>
          <a:chExt cx="5996201" cy="1915443"/>
        </a:xfrm>
      </xdr:grpSpPr>
      <xdr:grpSp>
        <xdr:nvGrpSpPr>
          <xdr:cNvPr id="14" name="10 Grupo">
            <a:extLst>
              <a:ext uri="{FF2B5EF4-FFF2-40B4-BE49-F238E27FC236}">
                <a16:creationId xmlns:a16="http://schemas.microsoft.com/office/drawing/2014/main" id="{E0C378B1-E3D0-AC88-9650-66498D98E1D8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6" name="12 CuadroTexto">
              <a:extLst>
                <a:ext uri="{FF2B5EF4-FFF2-40B4-BE49-F238E27FC236}">
                  <a16:creationId xmlns:a16="http://schemas.microsoft.com/office/drawing/2014/main" id="{340C54B6-6F88-4F59-F364-B6758B80FD48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7" name="13 CuadroTexto">
              <a:extLst>
                <a:ext uri="{FF2B5EF4-FFF2-40B4-BE49-F238E27FC236}">
                  <a16:creationId xmlns:a16="http://schemas.microsoft.com/office/drawing/2014/main" id="{AD07027A-5EF1-16D4-DFEC-473C56FAF197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8" name="14 CuadroTexto">
              <a:extLst>
                <a:ext uri="{FF2B5EF4-FFF2-40B4-BE49-F238E27FC236}">
                  <a16:creationId xmlns:a16="http://schemas.microsoft.com/office/drawing/2014/main" id="{80954C0E-92EF-0DF6-AE4F-6DE83AAE3F5E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9" name="15 CuadroTexto">
              <a:extLst>
                <a:ext uri="{FF2B5EF4-FFF2-40B4-BE49-F238E27FC236}">
                  <a16:creationId xmlns:a16="http://schemas.microsoft.com/office/drawing/2014/main" id="{B46F94D8-22CE-88BE-B6D0-A19F72B824D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5" name="11 CuadroTexto">
            <a:extLst>
              <a:ext uri="{FF2B5EF4-FFF2-40B4-BE49-F238E27FC236}">
                <a16:creationId xmlns:a16="http://schemas.microsoft.com/office/drawing/2014/main" id="{FA896F95-38E7-3991-137F-C20487123724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6</xdr:row>
      <xdr:rowOff>158296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4FE3FE6-7F27-4880-A294-EE8186F8A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260986"/>
          <a:ext cx="1015581" cy="988695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75701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4662E91-CFAF-4D50-BF62-2E5BACA99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" y="184785"/>
          <a:ext cx="952585" cy="9823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9A15B88-E9C9-4F62-B50E-7E0C77A977E0}"/>
            </a:ext>
          </a:extLst>
        </xdr:cNvPr>
        <xdr:cNvSpPr/>
      </xdr:nvSpPr>
      <xdr:spPr>
        <a:xfrm rot="21333714">
          <a:off x="1737360" y="286512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5</xdr:col>
      <xdr:colOff>0</xdr:colOff>
      <xdr:row>1</xdr:row>
      <xdr:rowOff>99061</xdr:rowOff>
    </xdr:from>
    <xdr:to>
      <xdr:col>5</xdr:col>
      <xdr:colOff>1007961</xdr:colOff>
      <xdr:row>6</xdr:row>
      <xdr:rowOff>146786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216EAF6-7A1F-4330-99EC-A5AB8B97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556345</xdr:colOff>
      <xdr:row>6</xdr:row>
      <xdr:rowOff>58476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212D719-CC19-4762-8B5A-E76D1F387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126168C0-E18B-413A-BB33-209151B0723A}"/>
            </a:ext>
          </a:extLst>
        </xdr:cNvPr>
        <xdr:cNvSpPr/>
      </xdr:nvSpPr>
      <xdr:spPr>
        <a:xfrm rot="21333714">
          <a:off x="1691640" y="28860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1</xdr:col>
      <xdr:colOff>51435</xdr:colOff>
      <xdr:row>24</xdr:row>
      <xdr:rowOff>62865</xdr:rowOff>
    </xdr:from>
    <xdr:to>
      <xdr:col>5</xdr:col>
      <xdr:colOff>1108712</xdr:colOff>
      <xdr:row>35</xdr:row>
      <xdr:rowOff>24040</xdr:rowOff>
    </xdr:to>
    <xdr:grpSp>
      <xdr:nvGrpSpPr>
        <xdr:cNvPr id="13" name="9 Grupo">
          <a:extLst>
            <a:ext uri="{FF2B5EF4-FFF2-40B4-BE49-F238E27FC236}">
              <a16:creationId xmlns:a16="http://schemas.microsoft.com/office/drawing/2014/main" id="{04891DEB-1359-4F12-B611-F8BDBD0D6E3F}"/>
            </a:ext>
          </a:extLst>
        </xdr:cNvPr>
        <xdr:cNvGrpSpPr/>
      </xdr:nvGrpSpPr>
      <xdr:grpSpPr>
        <a:xfrm>
          <a:off x="221882" y="5537233"/>
          <a:ext cx="8306304" cy="2217096"/>
          <a:chOff x="339769" y="8181396"/>
          <a:chExt cx="5996201" cy="1915443"/>
        </a:xfrm>
      </xdr:grpSpPr>
      <xdr:grpSp>
        <xdr:nvGrpSpPr>
          <xdr:cNvPr id="14" name="10 Grupo">
            <a:extLst>
              <a:ext uri="{FF2B5EF4-FFF2-40B4-BE49-F238E27FC236}">
                <a16:creationId xmlns:a16="http://schemas.microsoft.com/office/drawing/2014/main" id="{AD7D30A5-D00A-8A5F-1619-C16316F36011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6" name="12 CuadroTexto">
              <a:extLst>
                <a:ext uri="{FF2B5EF4-FFF2-40B4-BE49-F238E27FC236}">
                  <a16:creationId xmlns:a16="http://schemas.microsoft.com/office/drawing/2014/main" id="{3599FA6B-5278-5B16-5616-655CC1E66175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7" name="13 CuadroTexto">
              <a:extLst>
                <a:ext uri="{FF2B5EF4-FFF2-40B4-BE49-F238E27FC236}">
                  <a16:creationId xmlns:a16="http://schemas.microsoft.com/office/drawing/2014/main" id="{61FAA6B6-B326-5C32-60FF-A25B555B7A16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8" name="14 CuadroTexto">
              <a:extLst>
                <a:ext uri="{FF2B5EF4-FFF2-40B4-BE49-F238E27FC236}">
                  <a16:creationId xmlns:a16="http://schemas.microsoft.com/office/drawing/2014/main" id="{8455699D-3689-AFAE-1DF4-7063A6299A49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9" name="15 CuadroTexto">
              <a:extLst>
                <a:ext uri="{FF2B5EF4-FFF2-40B4-BE49-F238E27FC236}">
                  <a16:creationId xmlns:a16="http://schemas.microsoft.com/office/drawing/2014/main" id="{2BA21E81-EE70-9151-926B-E0A91A5EC7CF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5" name="11 CuadroTexto">
            <a:extLst>
              <a:ext uri="{FF2B5EF4-FFF2-40B4-BE49-F238E27FC236}">
                <a16:creationId xmlns:a16="http://schemas.microsoft.com/office/drawing/2014/main" id="{3F0A1823-36A7-96B9-EBD8-96C6CAD62EB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29F5DF1-E7A6-448C-926C-F9942CDB10F5}"/>
            </a:ext>
          </a:extLst>
        </xdr:cNvPr>
        <xdr:cNvSpPr/>
      </xdr:nvSpPr>
      <xdr:spPr>
        <a:xfrm rot="21333714">
          <a:off x="1737360" y="286512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5</xdr:col>
      <xdr:colOff>0</xdr:colOff>
      <xdr:row>1</xdr:row>
      <xdr:rowOff>99061</xdr:rowOff>
    </xdr:from>
    <xdr:to>
      <xdr:col>5</xdr:col>
      <xdr:colOff>1007961</xdr:colOff>
      <xdr:row>6</xdr:row>
      <xdr:rowOff>106681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E7CF996-8C31-41BC-AD9A-B3157ACB5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556345</xdr:colOff>
      <xdr:row>6</xdr:row>
      <xdr:rowOff>18371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2114332-7FE8-4563-9731-1C9EB3F34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9D69F7EE-8564-41B5-9BD1-96FDB471804F}"/>
            </a:ext>
          </a:extLst>
        </xdr:cNvPr>
        <xdr:cNvSpPr/>
      </xdr:nvSpPr>
      <xdr:spPr>
        <a:xfrm rot="21333714">
          <a:off x="1691640" y="28860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1</xdr:col>
      <xdr:colOff>70485</xdr:colOff>
      <xdr:row>24</xdr:row>
      <xdr:rowOff>62865</xdr:rowOff>
    </xdr:from>
    <xdr:to>
      <xdr:col>5</xdr:col>
      <xdr:colOff>1127762</xdr:colOff>
      <xdr:row>35</xdr:row>
      <xdr:rowOff>24040</xdr:rowOff>
    </xdr:to>
    <xdr:grpSp>
      <xdr:nvGrpSpPr>
        <xdr:cNvPr id="13" name="9 Grupo">
          <a:extLst>
            <a:ext uri="{FF2B5EF4-FFF2-40B4-BE49-F238E27FC236}">
              <a16:creationId xmlns:a16="http://schemas.microsoft.com/office/drawing/2014/main" id="{A5DA7A00-4463-46FE-A666-800326B22ADA}"/>
            </a:ext>
          </a:extLst>
        </xdr:cNvPr>
        <xdr:cNvGrpSpPr/>
      </xdr:nvGrpSpPr>
      <xdr:grpSpPr>
        <a:xfrm>
          <a:off x="242746" y="4835498"/>
          <a:ext cx="8302356" cy="2068835"/>
          <a:chOff x="339769" y="8181396"/>
          <a:chExt cx="5996201" cy="1915443"/>
        </a:xfrm>
      </xdr:grpSpPr>
      <xdr:grpSp>
        <xdr:nvGrpSpPr>
          <xdr:cNvPr id="14" name="10 Grupo">
            <a:extLst>
              <a:ext uri="{FF2B5EF4-FFF2-40B4-BE49-F238E27FC236}">
                <a16:creationId xmlns:a16="http://schemas.microsoft.com/office/drawing/2014/main" id="{CC0CA8B2-739B-B39B-C391-1FFF5CBC90B8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6" name="12 CuadroTexto">
              <a:extLst>
                <a:ext uri="{FF2B5EF4-FFF2-40B4-BE49-F238E27FC236}">
                  <a16:creationId xmlns:a16="http://schemas.microsoft.com/office/drawing/2014/main" id="{30FAE218-0775-F168-2644-0416F014C32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7" name="13 CuadroTexto">
              <a:extLst>
                <a:ext uri="{FF2B5EF4-FFF2-40B4-BE49-F238E27FC236}">
                  <a16:creationId xmlns:a16="http://schemas.microsoft.com/office/drawing/2014/main" id="{06931530-AFA5-156D-777D-66B81EEC1D55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8" name="14 CuadroTexto">
              <a:extLst>
                <a:ext uri="{FF2B5EF4-FFF2-40B4-BE49-F238E27FC236}">
                  <a16:creationId xmlns:a16="http://schemas.microsoft.com/office/drawing/2014/main" id="{FB0838E2-E151-55EB-1862-90C7DE64CA8E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9" name="15 CuadroTexto">
              <a:extLst>
                <a:ext uri="{FF2B5EF4-FFF2-40B4-BE49-F238E27FC236}">
                  <a16:creationId xmlns:a16="http://schemas.microsoft.com/office/drawing/2014/main" id="{0F16106D-1B1C-F21C-D162-9853516FC0DC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5" name="11 CuadroTexto">
            <a:extLst>
              <a:ext uri="{FF2B5EF4-FFF2-40B4-BE49-F238E27FC236}">
                <a16:creationId xmlns:a16="http://schemas.microsoft.com/office/drawing/2014/main" id="{7D96EA6F-81F1-AA50-8164-5F0369CD8D8D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6</xdr:row>
      <xdr:rowOff>125731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1EFB18E-CFE5-44B9-ABB8-F034D40AD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260986"/>
          <a:ext cx="1015581" cy="988695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43136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ADBDF3C-09B5-470F-9B75-5ECE2FEE4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" y="184785"/>
          <a:ext cx="952585" cy="9823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99061</xdr:rowOff>
    </xdr:from>
    <xdr:to>
      <xdr:col>5</xdr:col>
      <xdr:colOff>1007961</xdr:colOff>
      <xdr:row>6</xdr:row>
      <xdr:rowOff>106681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A10BE1D-A643-4F1C-8136-03001FC4B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556345</xdr:colOff>
      <xdr:row>6</xdr:row>
      <xdr:rowOff>18371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605555A-A29A-445C-9F2E-378E5D318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  <xdr:twoCellAnchor>
    <xdr:from>
      <xdr:col>1</xdr:col>
      <xdr:colOff>175260</xdr:colOff>
      <xdr:row>26</xdr:row>
      <xdr:rowOff>81915</xdr:rowOff>
    </xdr:from>
    <xdr:to>
      <xdr:col>6</xdr:col>
      <xdr:colOff>99062</xdr:colOff>
      <xdr:row>37</xdr:row>
      <xdr:rowOff>43090</xdr:rowOff>
    </xdr:to>
    <xdr:grpSp>
      <xdr:nvGrpSpPr>
        <xdr:cNvPr id="12" name="9 Grupo">
          <a:extLst>
            <a:ext uri="{FF2B5EF4-FFF2-40B4-BE49-F238E27FC236}">
              <a16:creationId xmlns:a16="http://schemas.microsoft.com/office/drawing/2014/main" id="{8D40B5D8-A0F4-45D0-8BF5-32A4C6B23390}"/>
            </a:ext>
          </a:extLst>
        </xdr:cNvPr>
        <xdr:cNvGrpSpPr/>
      </xdr:nvGrpSpPr>
      <xdr:grpSpPr>
        <a:xfrm>
          <a:off x="341394" y="5730462"/>
          <a:ext cx="8308017" cy="2021233"/>
          <a:chOff x="339769" y="8181396"/>
          <a:chExt cx="5996201" cy="1915443"/>
        </a:xfrm>
      </xdr:grpSpPr>
      <xdr:grpSp>
        <xdr:nvGrpSpPr>
          <xdr:cNvPr id="13" name="10 Grupo">
            <a:extLst>
              <a:ext uri="{FF2B5EF4-FFF2-40B4-BE49-F238E27FC236}">
                <a16:creationId xmlns:a16="http://schemas.microsoft.com/office/drawing/2014/main" id="{295DA331-D45E-802E-E903-E2791401B644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5" name="12 CuadroTexto">
              <a:extLst>
                <a:ext uri="{FF2B5EF4-FFF2-40B4-BE49-F238E27FC236}">
                  <a16:creationId xmlns:a16="http://schemas.microsoft.com/office/drawing/2014/main" id="{EBE7B5A7-28A9-4433-1B5D-C1C746190C56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6" name="13 CuadroTexto">
              <a:extLst>
                <a:ext uri="{FF2B5EF4-FFF2-40B4-BE49-F238E27FC236}">
                  <a16:creationId xmlns:a16="http://schemas.microsoft.com/office/drawing/2014/main" id="{BE5A581F-D504-7A26-5FBB-995E7B33BE92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7" name="14 CuadroTexto">
              <a:extLst>
                <a:ext uri="{FF2B5EF4-FFF2-40B4-BE49-F238E27FC236}">
                  <a16:creationId xmlns:a16="http://schemas.microsoft.com/office/drawing/2014/main" id="{B3B75A42-4DDA-660F-17EE-C238329C7E17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8" name="15 CuadroTexto">
              <a:extLst>
                <a:ext uri="{FF2B5EF4-FFF2-40B4-BE49-F238E27FC236}">
                  <a16:creationId xmlns:a16="http://schemas.microsoft.com/office/drawing/2014/main" id="{9D359BA3-D867-3783-D8F8-195C2AD65D0B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4" name="11 CuadroTexto">
            <a:extLst>
              <a:ext uri="{FF2B5EF4-FFF2-40B4-BE49-F238E27FC236}">
                <a16:creationId xmlns:a16="http://schemas.microsoft.com/office/drawing/2014/main" id="{831EBD7B-F721-EC8A-AF45-355902FFE592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6</xdr:row>
      <xdr:rowOff>125731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E8F5D73-B574-4353-AD1A-6E8CC20B1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260986"/>
          <a:ext cx="1015581" cy="988695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43136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FA1F3DA-D76A-4928-BAD9-A67979A5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" y="184785"/>
          <a:ext cx="952585" cy="9823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D7B090C-8217-426D-9211-7B1DF187C657}"/>
            </a:ext>
          </a:extLst>
        </xdr:cNvPr>
        <xdr:cNvSpPr/>
      </xdr:nvSpPr>
      <xdr:spPr>
        <a:xfrm rot="21333714">
          <a:off x="1737360" y="286512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1</xdr:col>
      <xdr:colOff>60960</xdr:colOff>
      <xdr:row>20</xdr:row>
      <xdr:rowOff>129540</xdr:rowOff>
    </xdr:from>
    <xdr:to>
      <xdr:col>5</xdr:col>
      <xdr:colOff>790577</xdr:colOff>
      <xdr:row>31</xdr:row>
      <xdr:rowOff>4990</xdr:rowOff>
    </xdr:to>
    <xdr:grpSp>
      <xdr:nvGrpSpPr>
        <xdr:cNvPr id="3" name="9 Grupo">
          <a:extLst>
            <a:ext uri="{FF2B5EF4-FFF2-40B4-BE49-F238E27FC236}">
              <a16:creationId xmlns:a16="http://schemas.microsoft.com/office/drawing/2014/main" id="{80A73032-4C3D-404C-A698-A9E1F483E68E}"/>
            </a:ext>
          </a:extLst>
        </xdr:cNvPr>
        <xdr:cNvGrpSpPr/>
      </xdr:nvGrpSpPr>
      <xdr:grpSpPr>
        <a:xfrm>
          <a:off x="229632" y="4812665"/>
          <a:ext cx="7972586" cy="2107872"/>
          <a:chOff x="339769" y="8181396"/>
          <a:chExt cx="5996201" cy="1915443"/>
        </a:xfrm>
      </xdr:grpSpPr>
      <xdr:grpSp>
        <xdr:nvGrpSpPr>
          <xdr:cNvPr id="4" name="10 Grupo">
            <a:extLst>
              <a:ext uri="{FF2B5EF4-FFF2-40B4-BE49-F238E27FC236}">
                <a16:creationId xmlns:a16="http://schemas.microsoft.com/office/drawing/2014/main" id="{95F985B5-35ED-BF2A-4592-C9FDB13EC4DD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6" name="12 CuadroTexto">
              <a:extLst>
                <a:ext uri="{FF2B5EF4-FFF2-40B4-BE49-F238E27FC236}">
                  <a16:creationId xmlns:a16="http://schemas.microsoft.com/office/drawing/2014/main" id="{E8D32E50-1EC8-5E7B-98E0-7449B1D7E316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7" name="13 CuadroTexto">
              <a:extLst>
                <a:ext uri="{FF2B5EF4-FFF2-40B4-BE49-F238E27FC236}">
                  <a16:creationId xmlns:a16="http://schemas.microsoft.com/office/drawing/2014/main" id="{AEFE8440-EA71-8F31-1510-F96B1935A732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8" name="14 CuadroTexto">
              <a:extLst>
                <a:ext uri="{FF2B5EF4-FFF2-40B4-BE49-F238E27FC236}">
                  <a16:creationId xmlns:a16="http://schemas.microsoft.com/office/drawing/2014/main" id="{E5D460E1-F163-9E9C-14B1-FBBE1E117B37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9" name="15 CuadroTexto">
              <a:extLst>
                <a:ext uri="{FF2B5EF4-FFF2-40B4-BE49-F238E27FC236}">
                  <a16:creationId xmlns:a16="http://schemas.microsoft.com/office/drawing/2014/main" id="{79C19406-BF77-163E-9BB9-DBE45BDACFBB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5" name="11 CuadroTexto">
            <a:extLst>
              <a:ext uri="{FF2B5EF4-FFF2-40B4-BE49-F238E27FC236}">
                <a16:creationId xmlns:a16="http://schemas.microsoft.com/office/drawing/2014/main" id="{B1C944B6-E374-81F2-3381-2D418F91D3C6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1007961</xdr:colOff>
      <xdr:row>6</xdr:row>
      <xdr:rowOff>146369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3E4D83F-4F32-42F1-BB81-9B6852B1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556345</xdr:colOff>
      <xdr:row>6</xdr:row>
      <xdr:rowOff>58059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B8E3083-CC5D-40FF-893E-39CD898C5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72B9D2AE-C091-410E-80B5-FC694C89C7CF}"/>
            </a:ext>
          </a:extLst>
        </xdr:cNvPr>
        <xdr:cNvSpPr/>
      </xdr:nvSpPr>
      <xdr:spPr>
        <a:xfrm rot="21333714">
          <a:off x="1691640" y="28860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6</xdr:row>
      <xdr:rowOff>165419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1F93EA72-2D34-4FBD-8706-B2E8B06A2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260986"/>
          <a:ext cx="1015581" cy="988695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82824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D2F6725-54E3-4125-9E5F-DF10CCC80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" y="184785"/>
          <a:ext cx="952585" cy="98230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962022</xdr:colOff>
      <xdr:row>17</xdr:row>
      <xdr:rowOff>200025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DB27BE5-9C14-42AC-8589-6A0E5BDA63A7}"/>
            </a:ext>
          </a:extLst>
        </xdr:cNvPr>
        <xdr:cNvSpPr/>
      </xdr:nvSpPr>
      <xdr:spPr>
        <a:xfrm rot="21333714">
          <a:off x="1133472" y="371475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128990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07CB2C-0FB8-4CFF-A0C0-BDD3B71FC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73540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100965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09EB2A1-27C1-473A-85CA-C5C048E37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70915"/>
        </a:xfrm>
        <a:prstGeom prst="rect">
          <a:avLst/>
        </a:prstGeom>
      </xdr:spPr>
    </xdr:pic>
    <xdr:clientData/>
  </xdr:twoCellAnchor>
  <xdr:oneCellAnchor>
    <xdr:from>
      <xdr:col>1</xdr:col>
      <xdr:colOff>962022</xdr:colOff>
      <xdr:row>17</xdr:row>
      <xdr:rowOff>200025</xdr:rowOff>
    </xdr:from>
    <xdr:ext cx="5699254" cy="937629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B27C2864-1114-41B5-9352-FA203DDC7ECF}"/>
            </a:ext>
          </a:extLst>
        </xdr:cNvPr>
        <xdr:cNvSpPr/>
      </xdr:nvSpPr>
      <xdr:spPr>
        <a:xfrm rot="21333714">
          <a:off x="1133472" y="371475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0</xdr:col>
      <xdr:colOff>127635</xdr:colOff>
      <xdr:row>27</xdr:row>
      <xdr:rowOff>24765</xdr:rowOff>
    </xdr:from>
    <xdr:to>
      <xdr:col>5</xdr:col>
      <xdr:colOff>175262</xdr:colOff>
      <xdr:row>38</xdr:row>
      <xdr:rowOff>43090</xdr:rowOff>
    </xdr:to>
    <xdr:grpSp>
      <xdr:nvGrpSpPr>
        <xdr:cNvPr id="6" name="9 Grupo">
          <a:extLst>
            <a:ext uri="{FF2B5EF4-FFF2-40B4-BE49-F238E27FC236}">
              <a16:creationId xmlns:a16="http://schemas.microsoft.com/office/drawing/2014/main" id="{A344DAFF-6110-4896-8D85-8B346A49FBE5}"/>
            </a:ext>
          </a:extLst>
        </xdr:cNvPr>
        <xdr:cNvGrpSpPr/>
      </xdr:nvGrpSpPr>
      <xdr:grpSpPr>
        <a:xfrm>
          <a:off x="127635" y="6227921"/>
          <a:ext cx="7703346" cy="2268607"/>
          <a:chOff x="339769" y="8181396"/>
          <a:chExt cx="5996201" cy="1915443"/>
        </a:xfrm>
      </xdr:grpSpPr>
      <xdr:grpSp>
        <xdr:nvGrpSpPr>
          <xdr:cNvPr id="7" name="10 Grupo">
            <a:extLst>
              <a:ext uri="{FF2B5EF4-FFF2-40B4-BE49-F238E27FC236}">
                <a16:creationId xmlns:a16="http://schemas.microsoft.com/office/drawing/2014/main" id="{88D1CE7C-812E-2C00-A5EA-3CA2B64D497D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9" name="12 CuadroTexto">
              <a:extLst>
                <a:ext uri="{FF2B5EF4-FFF2-40B4-BE49-F238E27FC236}">
                  <a16:creationId xmlns:a16="http://schemas.microsoft.com/office/drawing/2014/main" id="{DC4D58D8-ADB9-E676-3F3E-CFC91677D007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0" name="13 CuadroTexto">
              <a:extLst>
                <a:ext uri="{FF2B5EF4-FFF2-40B4-BE49-F238E27FC236}">
                  <a16:creationId xmlns:a16="http://schemas.microsoft.com/office/drawing/2014/main" id="{419D2084-6847-A4A3-72A8-D81AB07D154A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1" name="14 CuadroTexto">
              <a:extLst>
                <a:ext uri="{FF2B5EF4-FFF2-40B4-BE49-F238E27FC236}">
                  <a16:creationId xmlns:a16="http://schemas.microsoft.com/office/drawing/2014/main" id="{D0DD2A7B-9E20-2475-FE8F-B0094F366F0B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2" name="15 CuadroTexto">
              <a:extLst>
                <a:ext uri="{FF2B5EF4-FFF2-40B4-BE49-F238E27FC236}">
                  <a16:creationId xmlns:a16="http://schemas.microsoft.com/office/drawing/2014/main" id="{FAB8B2EE-E044-4210-68BE-71C7836099F9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8" name="11 CuadroTexto">
            <a:extLst>
              <a:ext uri="{FF2B5EF4-FFF2-40B4-BE49-F238E27FC236}">
                <a16:creationId xmlns:a16="http://schemas.microsoft.com/office/drawing/2014/main" id="{25011C0D-7A5D-581C-77C9-D693D8582397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885824</xdr:colOff>
      <xdr:row>17</xdr:row>
      <xdr:rowOff>171450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8D55D27-4A5E-4FF3-AC8D-26FD5B9F17BC}"/>
            </a:ext>
          </a:extLst>
        </xdr:cNvPr>
        <xdr:cNvSpPr/>
      </xdr:nvSpPr>
      <xdr:spPr>
        <a:xfrm rot="21333714">
          <a:off x="1057274" y="36861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128990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F4CEE3-7A2F-4053-9852-64B04EBBA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73540"/>
        </a:xfrm>
        <a:prstGeom prst="rect">
          <a:avLst/>
        </a:prstGeom>
      </xdr:spPr>
    </xdr:pic>
    <xdr:clientData/>
  </xdr:twoCellAnchor>
  <xdr:twoCellAnchor>
    <xdr:from>
      <xdr:col>1</xdr:col>
      <xdr:colOff>60960</xdr:colOff>
      <xdr:row>22</xdr:row>
      <xdr:rowOff>129540</xdr:rowOff>
    </xdr:from>
    <xdr:to>
      <xdr:col>5</xdr:col>
      <xdr:colOff>280037</xdr:colOff>
      <xdr:row>33</xdr:row>
      <xdr:rowOff>4990</xdr:rowOff>
    </xdr:to>
    <xdr:grpSp>
      <xdr:nvGrpSpPr>
        <xdr:cNvPr id="4" name="9 Grupo">
          <a:extLst>
            <a:ext uri="{FF2B5EF4-FFF2-40B4-BE49-F238E27FC236}">
              <a16:creationId xmlns:a16="http://schemas.microsoft.com/office/drawing/2014/main" id="{DD242B50-DBF2-49D5-ACA9-F7E8387A8D8B}"/>
            </a:ext>
          </a:extLst>
        </xdr:cNvPr>
        <xdr:cNvGrpSpPr/>
      </xdr:nvGrpSpPr>
      <xdr:grpSpPr>
        <a:xfrm>
          <a:off x="229048" y="5373893"/>
          <a:ext cx="7704607" cy="2127832"/>
          <a:chOff x="339769" y="8181396"/>
          <a:chExt cx="5996201" cy="1915443"/>
        </a:xfrm>
      </xdr:grpSpPr>
      <xdr:grpSp>
        <xdr:nvGrpSpPr>
          <xdr:cNvPr id="5" name="10 Grupo">
            <a:extLst>
              <a:ext uri="{FF2B5EF4-FFF2-40B4-BE49-F238E27FC236}">
                <a16:creationId xmlns:a16="http://schemas.microsoft.com/office/drawing/2014/main" id="{8B1847D4-7D9C-B1F6-B816-1816612A3FD4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7" name="12 CuadroTexto">
              <a:extLst>
                <a:ext uri="{FF2B5EF4-FFF2-40B4-BE49-F238E27FC236}">
                  <a16:creationId xmlns:a16="http://schemas.microsoft.com/office/drawing/2014/main" id="{3CDACBAC-F814-67C1-05B7-FC400E1CF4DE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8" name="13 CuadroTexto">
              <a:extLst>
                <a:ext uri="{FF2B5EF4-FFF2-40B4-BE49-F238E27FC236}">
                  <a16:creationId xmlns:a16="http://schemas.microsoft.com/office/drawing/2014/main" id="{EE5BD75E-B556-CA40-63C0-BCBB695086D7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9" name="14 CuadroTexto">
              <a:extLst>
                <a:ext uri="{FF2B5EF4-FFF2-40B4-BE49-F238E27FC236}">
                  <a16:creationId xmlns:a16="http://schemas.microsoft.com/office/drawing/2014/main" id="{55992DC3-C0DB-3C21-0808-08069498832C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0" name="15 CuadroTexto">
              <a:extLst>
                <a:ext uri="{FF2B5EF4-FFF2-40B4-BE49-F238E27FC236}">
                  <a16:creationId xmlns:a16="http://schemas.microsoft.com/office/drawing/2014/main" id="{DF9BEA08-D8C0-46ED-396E-9986BCAEE10D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6" name="11 CuadroTexto">
            <a:extLst>
              <a:ext uri="{FF2B5EF4-FFF2-40B4-BE49-F238E27FC236}">
                <a16:creationId xmlns:a16="http://schemas.microsoft.com/office/drawing/2014/main" id="{FACCEFEF-DDDC-5881-025C-EEE192EDFB9F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100965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E467D16-9EDA-44AC-A7CD-758BA60DF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70915"/>
        </a:xfrm>
        <a:prstGeom prst="rect">
          <a:avLst/>
        </a:prstGeom>
      </xdr:spPr>
    </xdr:pic>
    <xdr:clientData/>
  </xdr:twoCellAnchor>
  <xdr:oneCellAnchor>
    <xdr:from>
      <xdr:col>1</xdr:col>
      <xdr:colOff>885824</xdr:colOff>
      <xdr:row>17</xdr:row>
      <xdr:rowOff>171450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1A7858A1-D319-4B79-ABA1-C26F7270D421}"/>
            </a:ext>
          </a:extLst>
        </xdr:cNvPr>
        <xdr:cNvSpPr/>
      </xdr:nvSpPr>
      <xdr:spPr>
        <a:xfrm rot="21333714">
          <a:off x="1057274" y="36861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149945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CC3F9AF-084D-41DC-A6F1-65893042C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9449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114300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5151CB6-E9FF-45DA-8A11-33DEEAFB4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842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885824</xdr:colOff>
      <xdr:row>17</xdr:row>
      <xdr:rowOff>171450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5A4A493-BACA-4BB7-84C0-257C647696BC}"/>
            </a:ext>
          </a:extLst>
        </xdr:cNvPr>
        <xdr:cNvSpPr/>
      </xdr:nvSpPr>
      <xdr:spPr>
        <a:xfrm rot="21333714">
          <a:off x="1057274" y="36861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128990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3A6EED-9BC7-4925-9F82-AE293292F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73540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100965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5591F76-2E86-47F0-BA1D-C7D37063D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70915"/>
        </a:xfrm>
        <a:prstGeom prst="rect">
          <a:avLst/>
        </a:prstGeom>
      </xdr:spPr>
    </xdr:pic>
    <xdr:clientData/>
  </xdr:twoCellAnchor>
  <xdr:oneCellAnchor>
    <xdr:from>
      <xdr:col>1</xdr:col>
      <xdr:colOff>885824</xdr:colOff>
      <xdr:row>17</xdr:row>
      <xdr:rowOff>171450</xdr:rowOff>
    </xdr:from>
    <xdr:ext cx="5699254" cy="937629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12985A4B-AA72-4A3B-8174-477110B77D04}"/>
            </a:ext>
          </a:extLst>
        </xdr:cNvPr>
        <xdr:cNvSpPr/>
      </xdr:nvSpPr>
      <xdr:spPr>
        <a:xfrm rot="21333714">
          <a:off x="1057274" y="36861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149945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B2642A7-F494-4036-A27D-A23F722F0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94495"/>
        </a:xfrm>
        <a:prstGeom prst="rect">
          <a:avLst/>
        </a:prstGeom>
      </xdr:spPr>
    </xdr:pic>
    <xdr:clientData/>
  </xdr:twoCellAnchor>
  <xdr:twoCellAnchor>
    <xdr:from>
      <xdr:col>0</xdr:col>
      <xdr:colOff>146685</xdr:colOff>
      <xdr:row>27</xdr:row>
      <xdr:rowOff>34290</xdr:rowOff>
    </xdr:from>
    <xdr:to>
      <xdr:col>5</xdr:col>
      <xdr:colOff>194312</xdr:colOff>
      <xdr:row>38</xdr:row>
      <xdr:rowOff>52615</xdr:rowOff>
    </xdr:to>
    <xdr:grpSp>
      <xdr:nvGrpSpPr>
        <xdr:cNvPr id="7" name="9 Grupo">
          <a:extLst>
            <a:ext uri="{FF2B5EF4-FFF2-40B4-BE49-F238E27FC236}">
              <a16:creationId xmlns:a16="http://schemas.microsoft.com/office/drawing/2014/main" id="{D21973F1-5072-4A69-8DA9-ACD2CD29256C}"/>
            </a:ext>
          </a:extLst>
        </xdr:cNvPr>
        <xdr:cNvGrpSpPr/>
      </xdr:nvGrpSpPr>
      <xdr:grpSpPr>
        <a:xfrm>
          <a:off x="146685" y="6257290"/>
          <a:ext cx="7715252" cy="2272575"/>
          <a:chOff x="339769" y="8181396"/>
          <a:chExt cx="5996201" cy="1915443"/>
        </a:xfrm>
      </xdr:grpSpPr>
      <xdr:grpSp>
        <xdr:nvGrpSpPr>
          <xdr:cNvPr id="8" name="10 Grupo">
            <a:extLst>
              <a:ext uri="{FF2B5EF4-FFF2-40B4-BE49-F238E27FC236}">
                <a16:creationId xmlns:a16="http://schemas.microsoft.com/office/drawing/2014/main" id="{976A469B-B76E-1EF1-AFB2-39EF5D9FCB86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0" name="12 CuadroTexto">
              <a:extLst>
                <a:ext uri="{FF2B5EF4-FFF2-40B4-BE49-F238E27FC236}">
                  <a16:creationId xmlns:a16="http://schemas.microsoft.com/office/drawing/2014/main" id="{5CF2592C-2B90-41B9-609F-1A6C4B33D2EE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1" name="13 CuadroTexto">
              <a:extLst>
                <a:ext uri="{FF2B5EF4-FFF2-40B4-BE49-F238E27FC236}">
                  <a16:creationId xmlns:a16="http://schemas.microsoft.com/office/drawing/2014/main" id="{F0E41779-64BB-1DEA-43A4-EB4E780C71D3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2" name="14 CuadroTexto">
              <a:extLst>
                <a:ext uri="{FF2B5EF4-FFF2-40B4-BE49-F238E27FC236}">
                  <a16:creationId xmlns:a16="http://schemas.microsoft.com/office/drawing/2014/main" id="{013E509A-F8C5-0B0B-C355-14BBB6B0D72D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3" name="15 CuadroTexto">
              <a:extLst>
                <a:ext uri="{FF2B5EF4-FFF2-40B4-BE49-F238E27FC236}">
                  <a16:creationId xmlns:a16="http://schemas.microsoft.com/office/drawing/2014/main" id="{A07356E5-9B32-D3A7-C642-B297DB657411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9" name="11 CuadroTexto">
            <a:extLst>
              <a:ext uri="{FF2B5EF4-FFF2-40B4-BE49-F238E27FC236}">
                <a16:creationId xmlns:a16="http://schemas.microsoft.com/office/drawing/2014/main" id="{75DABAAD-4DE0-D127-10EB-9E353062A475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114300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8F68E67-C0CC-4EAC-A284-DEE9BC0CA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842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885824</xdr:colOff>
      <xdr:row>17</xdr:row>
      <xdr:rowOff>171450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71A27E2-7753-49A6-94F4-848E47C056DE}"/>
            </a:ext>
          </a:extLst>
        </xdr:cNvPr>
        <xdr:cNvSpPr/>
      </xdr:nvSpPr>
      <xdr:spPr>
        <a:xfrm rot="21333714">
          <a:off x="1057274" y="36861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128990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73E643-AADF-416C-8435-529C0B8FE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73540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100965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A4BEE2-5248-44E0-A36D-47BA9FC05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70915"/>
        </a:xfrm>
        <a:prstGeom prst="rect">
          <a:avLst/>
        </a:prstGeom>
      </xdr:spPr>
    </xdr:pic>
    <xdr:clientData/>
  </xdr:twoCellAnchor>
  <xdr:oneCellAnchor>
    <xdr:from>
      <xdr:col>1</xdr:col>
      <xdr:colOff>885824</xdr:colOff>
      <xdr:row>17</xdr:row>
      <xdr:rowOff>171450</xdr:rowOff>
    </xdr:from>
    <xdr:ext cx="5699254" cy="937629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2DEFB02-4C44-4683-B27E-22CDACD47A10}"/>
            </a:ext>
          </a:extLst>
        </xdr:cNvPr>
        <xdr:cNvSpPr/>
      </xdr:nvSpPr>
      <xdr:spPr>
        <a:xfrm rot="21333714">
          <a:off x="1057274" y="36861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149945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E27DCCA-1DC4-4529-90D6-7A5848DCE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94495"/>
        </a:xfrm>
        <a:prstGeom prst="rect">
          <a:avLst/>
        </a:prstGeom>
      </xdr:spPr>
    </xdr:pic>
    <xdr:clientData/>
  </xdr:twoCellAnchor>
  <xdr:twoCellAnchor>
    <xdr:from>
      <xdr:col>0</xdr:col>
      <xdr:colOff>137160</xdr:colOff>
      <xdr:row>27</xdr:row>
      <xdr:rowOff>62865</xdr:rowOff>
    </xdr:from>
    <xdr:to>
      <xdr:col>5</xdr:col>
      <xdr:colOff>184787</xdr:colOff>
      <xdr:row>38</xdr:row>
      <xdr:rowOff>81190</xdr:rowOff>
    </xdr:to>
    <xdr:grpSp>
      <xdr:nvGrpSpPr>
        <xdr:cNvPr id="7" name="9 Grupo">
          <a:extLst>
            <a:ext uri="{FF2B5EF4-FFF2-40B4-BE49-F238E27FC236}">
              <a16:creationId xmlns:a16="http://schemas.microsoft.com/office/drawing/2014/main" id="{EC9AD61F-058E-4693-AAB0-7C62541AAE12}"/>
            </a:ext>
          </a:extLst>
        </xdr:cNvPr>
        <xdr:cNvGrpSpPr/>
      </xdr:nvGrpSpPr>
      <xdr:grpSpPr>
        <a:xfrm>
          <a:off x="137160" y="6285865"/>
          <a:ext cx="7715252" cy="2272575"/>
          <a:chOff x="339769" y="8181396"/>
          <a:chExt cx="5996201" cy="1915443"/>
        </a:xfrm>
      </xdr:grpSpPr>
      <xdr:grpSp>
        <xdr:nvGrpSpPr>
          <xdr:cNvPr id="8" name="10 Grupo">
            <a:extLst>
              <a:ext uri="{FF2B5EF4-FFF2-40B4-BE49-F238E27FC236}">
                <a16:creationId xmlns:a16="http://schemas.microsoft.com/office/drawing/2014/main" id="{2E3AE4D8-4630-2A28-897A-2B4349289717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0" name="12 CuadroTexto">
              <a:extLst>
                <a:ext uri="{FF2B5EF4-FFF2-40B4-BE49-F238E27FC236}">
                  <a16:creationId xmlns:a16="http://schemas.microsoft.com/office/drawing/2014/main" id="{A7EE3F5A-2FF0-AA46-BAF2-1734B1F0BB13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1" name="13 CuadroTexto">
              <a:extLst>
                <a:ext uri="{FF2B5EF4-FFF2-40B4-BE49-F238E27FC236}">
                  <a16:creationId xmlns:a16="http://schemas.microsoft.com/office/drawing/2014/main" id="{570BA28E-F94C-BF93-B86B-D44132CD1F0A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2" name="14 CuadroTexto">
              <a:extLst>
                <a:ext uri="{FF2B5EF4-FFF2-40B4-BE49-F238E27FC236}">
                  <a16:creationId xmlns:a16="http://schemas.microsoft.com/office/drawing/2014/main" id="{3FCB94AA-D53F-46A4-13DC-5B5A18F09877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3" name="15 CuadroTexto">
              <a:extLst>
                <a:ext uri="{FF2B5EF4-FFF2-40B4-BE49-F238E27FC236}">
                  <a16:creationId xmlns:a16="http://schemas.microsoft.com/office/drawing/2014/main" id="{D16E1988-C361-97DF-97DB-9592ED898376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9" name="11 CuadroTexto">
            <a:extLst>
              <a:ext uri="{FF2B5EF4-FFF2-40B4-BE49-F238E27FC236}">
                <a16:creationId xmlns:a16="http://schemas.microsoft.com/office/drawing/2014/main" id="{5B9FA997-CB40-4732-933D-B24E85472BD3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114300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5D498B3-23A5-4EF9-8A39-5AE6C9C0B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842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128990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1DA22D-E113-4983-80A3-8171C8B61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73540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100965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F124207-30F8-4C44-9D32-A0356F3C5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70915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149945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2BB6D41-D9AB-40C8-BADC-330E657D1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94495"/>
        </a:xfrm>
        <a:prstGeom prst="rect">
          <a:avLst/>
        </a:prstGeom>
      </xdr:spPr>
    </xdr:pic>
    <xdr:clientData/>
  </xdr:twoCellAnchor>
  <xdr:twoCellAnchor>
    <xdr:from>
      <xdr:col>0</xdr:col>
      <xdr:colOff>108585</xdr:colOff>
      <xdr:row>27</xdr:row>
      <xdr:rowOff>53340</xdr:rowOff>
    </xdr:from>
    <xdr:to>
      <xdr:col>5</xdr:col>
      <xdr:colOff>156212</xdr:colOff>
      <xdr:row>38</xdr:row>
      <xdr:rowOff>71665</xdr:rowOff>
    </xdr:to>
    <xdr:grpSp>
      <xdr:nvGrpSpPr>
        <xdr:cNvPr id="7" name="9 Grupo">
          <a:extLst>
            <a:ext uri="{FF2B5EF4-FFF2-40B4-BE49-F238E27FC236}">
              <a16:creationId xmlns:a16="http://schemas.microsoft.com/office/drawing/2014/main" id="{2542C1E1-7CFF-438B-91E8-A2BD82EDDD0A}"/>
            </a:ext>
          </a:extLst>
        </xdr:cNvPr>
        <xdr:cNvGrpSpPr/>
      </xdr:nvGrpSpPr>
      <xdr:grpSpPr>
        <a:xfrm>
          <a:off x="108585" y="6276340"/>
          <a:ext cx="8048627" cy="2272575"/>
          <a:chOff x="339769" y="8181396"/>
          <a:chExt cx="5996201" cy="1915443"/>
        </a:xfrm>
      </xdr:grpSpPr>
      <xdr:grpSp>
        <xdr:nvGrpSpPr>
          <xdr:cNvPr id="8" name="10 Grupo">
            <a:extLst>
              <a:ext uri="{FF2B5EF4-FFF2-40B4-BE49-F238E27FC236}">
                <a16:creationId xmlns:a16="http://schemas.microsoft.com/office/drawing/2014/main" id="{10266CF6-3475-6116-98AB-79ED0B2A059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0" name="12 CuadroTexto">
              <a:extLst>
                <a:ext uri="{FF2B5EF4-FFF2-40B4-BE49-F238E27FC236}">
                  <a16:creationId xmlns:a16="http://schemas.microsoft.com/office/drawing/2014/main" id="{8BA89C5F-83C9-811C-3615-2F72DF3969C1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1" name="13 CuadroTexto">
              <a:extLst>
                <a:ext uri="{FF2B5EF4-FFF2-40B4-BE49-F238E27FC236}">
                  <a16:creationId xmlns:a16="http://schemas.microsoft.com/office/drawing/2014/main" id="{A2B0A4AB-3177-6D13-DDEE-8029ABC49836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2" name="14 CuadroTexto">
              <a:extLst>
                <a:ext uri="{FF2B5EF4-FFF2-40B4-BE49-F238E27FC236}">
                  <a16:creationId xmlns:a16="http://schemas.microsoft.com/office/drawing/2014/main" id="{4AA8D6AD-AD8A-B499-0B40-5D7BB54AF633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3" name="15 CuadroTexto">
              <a:extLst>
                <a:ext uri="{FF2B5EF4-FFF2-40B4-BE49-F238E27FC236}">
                  <a16:creationId xmlns:a16="http://schemas.microsoft.com/office/drawing/2014/main" id="{1B460A72-9D7B-9068-C466-1FDAF97AF94D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9" name="11 CuadroTexto">
            <a:extLst>
              <a:ext uri="{FF2B5EF4-FFF2-40B4-BE49-F238E27FC236}">
                <a16:creationId xmlns:a16="http://schemas.microsoft.com/office/drawing/2014/main" id="{890BF46B-626D-AB00-94B1-30C142868C89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114300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E276855-6F1C-45DB-8DB3-8D309D793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84250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119465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BEAAA34A-8C7B-424F-9A47-5731FC76D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73540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91440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6556766-2330-45D1-AAA4-BE4AF41F5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70915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140420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31B4BE6E-CEE2-43C4-AF56-771B81AF7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9449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104775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236A37DC-94C2-4EB7-9997-8C4EEC0E6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84250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140420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66FC2C8D-44DC-300D-CD40-A4A900A5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9449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104775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8261B477-C19D-7F18-E4D3-F7DDBDF8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842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128990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ED48BF-00D0-4441-AC0F-3DE06A6DA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73540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100965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B9B56C8-D7B1-498E-8466-55285556C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70915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149945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A860929-EFBD-4678-B717-C4B8C9364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94495"/>
        </a:xfrm>
        <a:prstGeom prst="rect">
          <a:avLst/>
        </a:prstGeom>
      </xdr:spPr>
    </xdr:pic>
    <xdr:clientData/>
  </xdr:twoCellAnchor>
  <xdr:twoCellAnchor>
    <xdr:from>
      <xdr:col>1</xdr:col>
      <xdr:colOff>28575</xdr:colOff>
      <xdr:row>27</xdr:row>
      <xdr:rowOff>24765</xdr:rowOff>
    </xdr:from>
    <xdr:to>
      <xdr:col>5</xdr:col>
      <xdr:colOff>247652</xdr:colOff>
      <xdr:row>38</xdr:row>
      <xdr:rowOff>43090</xdr:rowOff>
    </xdr:to>
    <xdr:grpSp>
      <xdr:nvGrpSpPr>
        <xdr:cNvPr id="7" name="9 Grupo">
          <a:extLst>
            <a:ext uri="{FF2B5EF4-FFF2-40B4-BE49-F238E27FC236}">
              <a16:creationId xmlns:a16="http://schemas.microsoft.com/office/drawing/2014/main" id="{93716F36-57DB-4A9F-B244-03F8DCBBCAD0}"/>
            </a:ext>
          </a:extLst>
        </xdr:cNvPr>
        <xdr:cNvGrpSpPr/>
      </xdr:nvGrpSpPr>
      <xdr:grpSpPr>
        <a:xfrm>
          <a:off x="203200" y="6247765"/>
          <a:ext cx="7712077" cy="2272575"/>
          <a:chOff x="339769" y="8181396"/>
          <a:chExt cx="5996201" cy="1915443"/>
        </a:xfrm>
      </xdr:grpSpPr>
      <xdr:grpSp>
        <xdr:nvGrpSpPr>
          <xdr:cNvPr id="8" name="10 Grupo">
            <a:extLst>
              <a:ext uri="{FF2B5EF4-FFF2-40B4-BE49-F238E27FC236}">
                <a16:creationId xmlns:a16="http://schemas.microsoft.com/office/drawing/2014/main" id="{132536C1-D234-45D0-8147-765876F6C88A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0" name="12 CuadroTexto">
              <a:extLst>
                <a:ext uri="{FF2B5EF4-FFF2-40B4-BE49-F238E27FC236}">
                  <a16:creationId xmlns:a16="http://schemas.microsoft.com/office/drawing/2014/main" id="{B45C6D27-1C20-8854-5987-5A950EC94A11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1" name="13 CuadroTexto">
              <a:extLst>
                <a:ext uri="{FF2B5EF4-FFF2-40B4-BE49-F238E27FC236}">
                  <a16:creationId xmlns:a16="http://schemas.microsoft.com/office/drawing/2014/main" id="{91DB5C9F-46B9-F697-B3CA-B2DCAC424004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2" name="14 CuadroTexto">
              <a:extLst>
                <a:ext uri="{FF2B5EF4-FFF2-40B4-BE49-F238E27FC236}">
                  <a16:creationId xmlns:a16="http://schemas.microsoft.com/office/drawing/2014/main" id="{F684B226-F608-0023-AE31-13C704F31861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3" name="15 CuadroTexto">
              <a:extLst>
                <a:ext uri="{FF2B5EF4-FFF2-40B4-BE49-F238E27FC236}">
                  <a16:creationId xmlns:a16="http://schemas.microsoft.com/office/drawing/2014/main" id="{3943B3E7-64DE-0E11-8DEA-8E9204F658D6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9" name="11 CuadroTexto">
            <a:extLst>
              <a:ext uri="{FF2B5EF4-FFF2-40B4-BE49-F238E27FC236}">
                <a16:creationId xmlns:a16="http://schemas.microsoft.com/office/drawing/2014/main" id="{8E520E19-E2B4-FFC9-366A-27BB221D39DD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114300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B0B67B8-2C82-44DC-AAFC-FA45AB151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84250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119465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A423E83-3FE4-476B-A34F-B4302B67A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73540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91440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A04441A-B9BD-47B0-878D-3435920D9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70915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140420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1762B01-806C-42E1-8194-249AC6915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9449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104775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54DD1DA-39D2-4496-984B-A89555E80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84250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140420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66FC2C8D-44DC-300D-CD40-A4A900A5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9449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104775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8261B477-C19D-7F18-E4D3-F7DDBDF8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842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128990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14A305-5A2B-4DD5-A929-AEB5E77C6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6250" y="298450"/>
          <a:ext cx="1012024" cy="973540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100965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55E09A-EFF3-4579-B288-B35DB0E7C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70915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149945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8148DDA-771C-4D77-8B43-737EA1E6B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6250" y="298450"/>
          <a:ext cx="1012024" cy="99449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114300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86F53C1-D2C9-4E46-AC12-F12F6FB25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84250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119465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2B51076-0C06-439F-9EF1-C66A63DDC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6250" y="298450"/>
          <a:ext cx="1012024" cy="973540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91440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86B008D-3FE4-4AE7-B8BA-D43DE30A9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70915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140420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601877D-8B2B-43A0-A73D-E4F29D1C1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6250" y="298450"/>
          <a:ext cx="1012024" cy="99449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104775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20DBEECB-D387-4C46-B8B5-3BAFE31AD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84250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140420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6FC2C8D-44DC-300D-CD40-A4A900A5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6250" y="298450"/>
          <a:ext cx="1012024" cy="994495"/>
        </a:xfrm>
        <a:prstGeom prst="rect">
          <a:avLst/>
        </a:prstGeom>
      </xdr:spPr>
    </xdr:pic>
    <xdr:clientData/>
  </xdr:twoCellAnchor>
  <xdr:twoCellAnchor>
    <xdr:from>
      <xdr:col>0</xdr:col>
      <xdr:colOff>22860</xdr:colOff>
      <xdr:row>29</xdr:row>
      <xdr:rowOff>91440</xdr:rowOff>
    </xdr:from>
    <xdr:to>
      <xdr:col>5</xdr:col>
      <xdr:colOff>70487</xdr:colOff>
      <xdr:row>46</xdr:row>
      <xdr:rowOff>109765</xdr:rowOff>
    </xdr:to>
    <xdr:grpSp>
      <xdr:nvGrpSpPr>
        <xdr:cNvPr id="19" name="9 Grupo">
          <a:extLst>
            <a:ext uri="{FF2B5EF4-FFF2-40B4-BE49-F238E27FC236}">
              <a16:creationId xmlns:a16="http://schemas.microsoft.com/office/drawing/2014/main" id="{4E8916B1-4435-47A6-97A7-7841E51B348D}"/>
            </a:ext>
          </a:extLst>
        </xdr:cNvPr>
        <xdr:cNvGrpSpPr/>
      </xdr:nvGrpSpPr>
      <xdr:grpSpPr>
        <a:xfrm>
          <a:off x="22860" y="7168515"/>
          <a:ext cx="7991477" cy="3418750"/>
          <a:chOff x="339769" y="8181396"/>
          <a:chExt cx="5996201" cy="1915443"/>
        </a:xfrm>
      </xdr:grpSpPr>
      <xdr:grpSp>
        <xdr:nvGrpSpPr>
          <xdr:cNvPr id="20" name="10 Grupo">
            <a:extLst>
              <a:ext uri="{FF2B5EF4-FFF2-40B4-BE49-F238E27FC236}">
                <a16:creationId xmlns:a16="http://schemas.microsoft.com/office/drawing/2014/main" id="{3E0CA6CF-5C95-DD01-3617-71900494BECC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22" name="12 CuadroTexto">
              <a:extLst>
                <a:ext uri="{FF2B5EF4-FFF2-40B4-BE49-F238E27FC236}">
                  <a16:creationId xmlns:a16="http://schemas.microsoft.com/office/drawing/2014/main" id="{6D86C38D-5673-42DB-7CFC-A66032A3B456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23" name="13 CuadroTexto">
              <a:extLst>
                <a:ext uri="{FF2B5EF4-FFF2-40B4-BE49-F238E27FC236}">
                  <a16:creationId xmlns:a16="http://schemas.microsoft.com/office/drawing/2014/main" id="{D56DCDF7-2D24-D961-CF72-CFC71F6A33D5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4" name="14 CuadroTexto">
              <a:extLst>
                <a:ext uri="{FF2B5EF4-FFF2-40B4-BE49-F238E27FC236}">
                  <a16:creationId xmlns:a16="http://schemas.microsoft.com/office/drawing/2014/main" id="{7DDCAC15-36EB-782B-2A55-52846FD166A1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5" name="15 CuadroTexto">
              <a:extLst>
                <a:ext uri="{FF2B5EF4-FFF2-40B4-BE49-F238E27FC236}">
                  <a16:creationId xmlns:a16="http://schemas.microsoft.com/office/drawing/2014/main" id="{2E12BEBB-9C9A-91E0-39F5-B5C7A7154791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21" name="11 CuadroTexto">
            <a:extLst>
              <a:ext uri="{FF2B5EF4-FFF2-40B4-BE49-F238E27FC236}">
                <a16:creationId xmlns:a16="http://schemas.microsoft.com/office/drawing/2014/main" id="{0BE89D87-4C78-0455-8958-5374E46F6A39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104775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8261B477-C19D-7F18-E4D3-F7DDBDF8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842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71840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92FA74-F123-48BA-83E7-682318937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73540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43815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93CCB85-E2D6-4799-B8DF-E3F1EAE54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70915"/>
        </a:xfrm>
        <a:prstGeom prst="rect">
          <a:avLst/>
        </a:prstGeom>
      </xdr:spPr>
    </xdr:pic>
    <xdr:clientData/>
  </xdr:twoCellAnchor>
  <xdr:twoCellAnchor editAs="oneCell">
    <xdr:from>
      <xdr:col>4</xdr:col>
      <xdr:colOff>92075</xdr:colOff>
      <xdr:row>1</xdr:row>
      <xdr:rowOff>107950</xdr:rowOff>
    </xdr:from>
    <xdr:to>
      <xdr:col>4</xdr:col>
      <xdr:colOff>1104099</xdr:colOff>
      <xdr:row>6</xdr:row>
      <xdr:rowOff>92795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AA12963-2F66-4EB9-8A59-5A419F103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0025" y="298450"/>
          <a:ext cx="1012024" cy="994495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57150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767CE17-2C67-4642-BF91-273EA7D0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84250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1</xdr:row>
      <xdr:rowOff>107950</xdr:rowOff>
    </xdr:from>
    <xdr:to>
      <xdr:col>4</xdr:col>
      <xdr:colOff>1094574</xdr:colOff>
      <xdr:row>6</xdr:row>
      <xdr:rowOff>62893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FF2666C-A618-4822-9BD1-27CDC7D82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0500" y="298450"/>
          <a:ext cx="1012024" cy="974118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34868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46FA3455-29C7-4A4A-BFC0-8AFB82D3A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73050"/>
          <a:ext cx="975445" cy="971493"/>
        </a:xfrm>
        <a:prstGeom prst="rect">
          <a:avLst/>
        </a:prstGeom>
      </xdr:spPr>
    </xdr:pic>
    <xdr:clientData/>
  </xdr:twoCellAnchor>
  <xdr:twoCellAnchor editAs="oneCell">
    <xdr:from>
      <xdr:col>4</xdr:col>
      <xdr:colOff>92075</xdr:colOff>
      <xdr:row>1</xdr:row>
      <xdr:rowOff>107950</xdr:rowOff>
    </xdr:from>
    <xdr:to>
      <xdr:col>4</xdr:col>
      <xdr:colOff>1104099</xdr:colOff>
      <xdr:row>6</xdr:row>
      <xdr:rowOff>140420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6FC2C8D-44DC-300D-CD40-A4A900A5F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4525" y="269875"/>
          <a:ext cx="1012024" cy="994495"/>
        </a:xfrm>
        <a:prstGeom prst="rect">
          <a:avLst/>
        </a:prstGeom>
      </xdr:spPr>
    </xdr:pic>
    <xdr:clientData/>
  </xdr:twoCellAnchor>
  <xdr:twoCellAnchor>
    <xdr:from>
      <xdr:col>1</xdr:col>
      <xdr:colOff>60960</xdr:colOff>
      <xdr:row>44</xdr:row>
      <xdr:rowOff>129540</xdr:rowOff>
    </xdr:from>
    <xdr:to>
      <xdr:col>6</xdr:col>
      <xdr:colOff>3812</xdr:colOff>
      <xdr:row>61</xdr:row>
      <xdr:rowOff>4990</xdr:rowOff>
    </xdr:to>
    <xdr:grpSp>
      <xdr:nvGrpSpPr>
        <xdr:cNvPr id="25" name="9 Grupo">
          <a:extLst>
            <a:ext uri="{FF2B5EF4-FFF2-40B4-BE49-F238E27FC236}">
              <a16:creationId xmlns:a16="http://schemas.microsoft.com/office/drawing/2014/main" id="{4E8916B1-4435-47A6-97A7-7841E51B348D}"/>
            </a:ext>
          </a:extLst>
        </xdr:cNvPr>
        <xdr:cNvGrpSpPr/>
      </xdr:nvGrpSpPr>
      <xdr:grpSpPr>
        <a:xfrm>
          <a:off x="234142" y="11891472"/>
          <a:ext cx="9424556" cy="3238063"/>
          <a:chOff x="339769" y="8181396"/>
          <a:chExt cx="5996201" cy="1915443"/>
        </a:xfrm>
      </xdr:grpSpPr>
      <xdr:grpSp>
        <xdr:nvGrpSpPr>
          <xdr:cNvPr id="26" name="10 Grupo">
            <a:extLst>
              <a:ext uri="{FF2B5EF4-FFF2-40B4-BE49-F238E27FC236}">
                <a16:creationId xmlns:a16="http://schemas.microsoft.com/office/drawing/2014/main" id="{3E0CA6CF-5C95-DD01-3617-71900494BECC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28" name="12 CuadroTexto">
              <a:extLst>
                <a:ext uri="{FF2B5EF4-FFF2-40B4-BE49-F238E27FC236}">
                  <a16:creationId xmlns:a16="http://schemas.microsoft.com/office/drawing/2014/main" id="{6D86C38D-5673-42DB-7CFC-A66032A3B456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29" name="13 CuadroTexto">
              <a:extLst>
                <a:ext uri="{FF2B5EF4-FFF2-40B4-BE49-F238E27FC236}">
                  <a16:creationId xmlns:a16="http://schemas.microsoft.com/office/drawing/2014/main" id="{D56DCDF7-2D24-D961-CF72-CFC71F6A33D5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30" name="14 CuadroTexto">
              <a:extLst>
                <a:ext uri="{FF2B5EF4-FFF2-40B4-BE49-F238E27FC236}">
                  <a16:creationId xmlns:a16="http://schemas.microsoft.com/office/drawing/2014/main" id="{7DDCAC15-36EB-782B-2A55-52846FD166A1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31" name="15 CuadroTexto">
              <a:extLst>
                <a:ext uri="{FF2B5EF4-FFF2-40B4-BE49-F238E27FC236}">
                  <a16:creationId xmlns:a16="http://schemas.microsoft.com/office/drawing/2014/main" id="{2E12BEBB-9C9A-91E0-39F5-B5C7A7154791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27" name="11 CuadroTexto">
            <a:extLst>
              <a:ext uri="{FF2B5EF4-FFF2-40B4-BE49-F238E27FC236}">
                <a16:creationId xmlns:a16="http://schemas.microsoft.com/office/drawing/2014/main" id="{0BE89D87-4C78-0455-8958-5374E46F6A39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1</xdr:col>
      <xdr:colOff>292100</xdr:colOff>
      <xdr:row>1</xdr:row>
      <xdr:rowOff>82550</xdr:rowOff>
    </xdr:from>
    <xdr:to>
      <xdr:col>1</xdr:col>
      <xdr:colOff>1267545</xdr:colOff>
      <xdr:row>6</xdr:row>
      <xdr:rowOff>104775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8261B477-C19D-7F18-E4D3-F7DDBDF83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550" y="244475"/>
          <a:ext cx="975445" cy="984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2.67%20CTA%20INGRESOS%20PROPIOS%202025%20ACAJE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2.68%20CTA%20PARTICIPACIONES%202025%20ACAJE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2.69%20CTA%20FAISMUN%202025%20ACAJE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2.70%20CTA%20FORTAMUN%202025%20ACAJET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5.03%20CTA%20FAISMUN%202026%20ACAJE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5.04%20CTA%20FORTAMUN%202026%20ACAJET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5.05%20CTA%20PARTICIPACIONES%202026%20ACAJET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5.06%20CTA%20INGRESOS%20FISCALES%202026%20ACAJE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RESOS 2025"/>
      <sheetName val="INGRESOS"/>
      <sheetName val="DEPOSITOS CTA INGRESOS 2025"/>
    </sheetNames>
    <sheetDataSet>
      <sheetData sheetId="0"/>
      <sheetData sheetId="1">
        <row r="14">
          <cell r="B14" t="str">
            <v>AL MES DE : MARZO DE 2026</v>
          </cell>
          <cell r="C14"/>
          <cell r="D14"/>
          <cell r="E14"/>
          <cell r="F14"/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ICIPACIONES 2025"/>
      <sheetName val="PARTICIPACIONES"/>
      <sheetName val="DEPOSITOS CTA PARTICIPACIONES 5"/>
    </sheetNames>
    <sheetDataSet>
      <sheetData sheetId="0"/>
      <sheetData sheetId="1">
        <row r="14">
          <cell r="B14" t="str">
            <v>AL MES DE : MARZO DE 2026</v>
          </cell>
          <cell r="C14"/>
          <cell r="D14"/>
          <cell r="E14"/>
          <cell r="F14"/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ISMUN 2025"/>
      <sheetName val="FAISMUN"/>
      <sheetName val="DEPOSITOS CTA FAISMUN"/>
    </sheetNames>
    <sheetDataSet>
      <sheetData sheetId="0"/>
      <sheetData sheetId="1">
        <row r="14">
          <cell r="B14" t="str">
            <v>AL MES DE : MARZO DE 2026</v>
          </cell>
          <cell r="C14"/>
          <cell r="D14"/>
          <cell r="E14"/>
          <cell r="F14"/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TAMUN 2025"/>
      <sheetName val="FORTAMUN"/>
      <sheetName val="DEPOSITOS CTA FORTAMUN 2025"/>
    </sheetNames>
    <sheetDataSet>
      <sheetData sheetId="0"/>
      <sheetData sheetId="1">
        <row r="14">
          <cell r="B14" t="str">
            <v>AL MES DE : MARZO DE 2026</v>
          </cell>
          <cell r="C14"/>
          <cell r="D14"/>
          <cell r="E14"/>
          <cell r="F14"/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ISMUN 2026"/>
      <sheetName val="FAISMUN"/>
      <sheetName val="DEPOSITOS CTA FAISMUN"/>
    </sheetNames>
    <sheetDataSet>
      <sheetData sheetId="0"/>
      <sheetData sheetId="1">
        <row r="14">
          <cell r="B14" t="str">
            <v>AL MES DE : MARZO DE 2026</v>
          </cell>
          <cell r="C14"/>
          <cell r="D14"/>
          <cell r="E14"/>
          <cell r="F14"/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TAMUN 2026"/>
      <sheetName val="FORTAMUN"/>
      <sheetName val="DEPOSITOS CTA FORTAMUN 2026"/>
    </sheetNames>
    <sheetDataSet>
      <sheetData sheetId="0"/>
      <sheetData sheetId="1">
        <row r="14">
          <cell r="B14" t="str">
            <v>AL MES DE : MARZO DE 2026</v>
          </cell>
          <cell r="C14"/>
          <cell r="D14"/>
          <cell r="E14"/>
          <cell r="F14"/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ICIPACIONES 2026"/>
      <sheetName val="PARTICIPACIONES"/>
      <sheetName val="DEPOSITOS CTA PARTICIPACIONES 6"/>
    </sheetNames>
    <sheetDataSet>
      <sheetData sheetId="0"/>
      <sheetData sheetId="1">
        <row r="14">
          <cell r="B14" t="str">
            <v>AL MES DE : MARZO DE 2026</v>
          </cell>
          <cell r="C14"/>
          <cell r="D14"/>
          <cell r="E14"/>
          <cell r="F14"/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SCALES 2026"/>
      <sheetName val="CHEQUES"/>
      <sheetName val="DEPOSITOS CTA FISCALES"/>
    </sheetNames>
    <sheetDataSet>
      <sheetData sheetId="0"/>
      <sheetData sheetId="1">
        <row r="14">
          <cell r="B14" t="str">
            <v>AL MES DE : MARZO DE 2026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view="pageBreakPreview" zoomScale="92" zoomScaleNormal="100" zoomScaleSheetLayoutView="92" workbookViewId="0">
      <selection activeCell="B15" sqref="B15"/>
    </sheetView>
  </sheetViews>
  <sheetFormatPr baseColWidth="10" defaultColWidth="11.42578125" defaultRowHeight="15" x14ac:dyDescent="0.25"/>
  <cols>
    <col min="1" max="1" width="2.5703125" style="5" customWidth="1"/>
    <col min="2" max="2" width="10.85546875" style="5" customWidth="1"/>
    <col min="3" max="3" width="9.42578125" style="5" customWidth="1"/>
    <col min="4" max="4" width="30.85546875" style="5" customWidth="1"/>
    <col min="5" max="5" width="57.5703125" style="5" customWidth="1"/>
    <col min="6" max="6" width="17" style="5" bestFit="1" customWidth="1"/>
    <col min="7" max="7" width="4.140625" style="5" customWidth="1"/>
    <col min="8" max="16384" width="11.42578125" style="5"/>
  </cols>
  <sheetData>
    <row r="1" spans="1:7" x14ac:dyDescent="0.25">
      <c r="A1" s="1"/>
      <c r="B1" s="2"/>
      <c r="C1" s="2"/>
      <c r="D1" s="2"/>
      <c r="E1" s="2"/>
      <c r="F1" s="3" t="s">
        <v>0</v>
      </c>
      <c r="G1" s="4"/>
    </row>
    <row r="2" spans="1:7" x14ac:dyDescent="0.25">
      <c r="A2" s="6"/>
      <c r="E2" s="7"/>
      <c r="G2" s="8"/>
    </row>
    <row r="3" spans="1:7" ht="15.75" x14ac:dyDescent="0.25">
      <c r="A3" s="6"/>
      <c r="B3" s="96" t="s">
        <v>1</v>
      </c>
      <c r="C3" s="96"/>
      <c r="D3" s="96"/>
      <c r="E3" s="96"/>
      <c r="F3" s="96"/>
      <c r="G3" s="8"/>
    </row>
    <row r="4" spans="1:7" x14ac:dyDescent="0.25">
      <c r="A4" s="6"/>
      <c r="B4" s="7"/>
      <c r="D4" s="9"/>
      <c r="E4" s="9"/>
      <c r="G4" s="8"/>
    </row>
    <row r="5" spans="1:7" x14ac:dyDescent="0.25">
      <c r="A5" s="6"/>
      <c r="B5" s="97" t="s">
        <v>2</v>
      </c>
      <c r="C5" s="97"/>
      <c r="D5" s="97"/>
      <c r="E5" s="97"/>
      <c r="F5" s="97"/>
      <c r="G5" s="10"/>
    </row>
    <row r="6" spans="1:7" x14ac:dyDescent="0.25">
      <c r="A6" s="6"/>
      <c r="F6" s="11"/>
      <c r="G6" s="12"/>
    </row>
    <row r="7" spans="1:7" x14ac:dyDescent="0.25">
      <c r="A7" s="98" t="s">
        <v>16</v>
      </c>
      <c r="B7" s="99"/>
      <c r="C7" s="99"/>
      <c r="D7" s="99"/>
      <c r="E7" s="99"/>
      <c r="F7" s="99"/>
      <c r="G7" s="100"/>
    </row>
    <row r="8" spans="1:7" ht="15.75" customHeight="1" thickBot="1" x14ac:dyDescent="0.3">
      <c r="A8" s="6"/>
      <c r="G8" s="12"/>
    </row>
    <row r="9" spans="1:7" x14ac:dyDescent="0.25">
      <c r="A9" s="13" t="s">
        <v>4</v>
      </c>
      <c r="B9" s="101" t="s">
        <v>17</v>
      </c>
      <c r="C9" s="101"/>
      <c r="D9" s="101"/>
      <c r="E9" s="101"/>
      <c r="F9" s="101"/>
      <c r="G9" s="14"/>
    </row>
    <row r="10" spans="1:7" x14ac:dyDescent="0.25">
      <c r="A10" s="6"/>
      <c r="G10" s="8"/>
    </row>
    <row r="11" spans="1:7" x14ac:dyDescent="0.25">
      <c r="A11" s="6"/>
      <c r="B11" s="11" t="s">
        <v>18</v>
      </c>
      <c r="E11" s="102" t="s">
        <v>19</v>
      </c>
      <c r="F11" s="102"/>
      <c r="G11" s="8"/>
    </row>
    <row r="12" spans="1:7" x14ac:dyDescent="0.25">
      <c r="A12" s="6"/>
      <c r="B12" s="11" t="s">
        <v>8</v>
      </c>
      <c r="E12" s="102" t="s">
        <v>9</v>
      </c>
      <c r="F12" s="102"/>
      <c r="G12" s="8"/>
    </row>
    <row r="13" spans="1:7" x14ac:dyDescent="0.25">
      <c r="A13" s="6"/>
      <c r="B13" s="11"/>
      <c r="E13" s="15"/>
      <c r="G13" s="8"/>
    </row>
    <row r="14" spans="1:7" x14ac:dyDescent="0.25">
      <c r="A14" s="6"/>
      <c r="B14" s="87" t="s">
        <v>76</v>
      </c>
      <c r="C14" s="87"/>
      <c r="D14" s="87"/>
      <c r="E14" s="87"/>
      <c r="F14" s="87"/>
      <c r="G14" s="8"/>
    </row>
    <row r="15" spans="1:7" s="20" customFormat="1" ht="25.5" x14ac:dyDescent="0.25">
      <c r="A15" s="16"/>
      <c r="B15" s="17" t="s">
        <v>10</v>
      </c>
      <c r="C15" s="18" t="s">
        <v>11</v>
      </c>
      <c r="D15" s="17" t="s">
        <v>12</v>
      </c>
      <c r="E15" s="17" t="s">
        <v>13</v>
      </c>
      <c r="F15" s="17" t="s">
        <v>14</v>
      </c>
      <c r="G15" s="19"/>
    </row>
    <row r="16" spans="1:7" s="28" customFormat="1" x14ac:dyDescent="0.25">
      <c r="A16" s="21"/>
      <c r="B16" s="22"/>
      <c r="C16" s="23"/>
      <c r="D16" s="24"/>
      <c r="E16" s="25"/>
      <c r="F16" s="26"/>
      <c r="G16" s="27"/>
    </row>
    <row r="17" spans="1:10" s="28" customFormat="1" x14ac:dyDescent="0.25">
      <c r="A17" s="21"/>
      <c r="B17" s="88"/>
      <c r="C17" s="89"/>
      <c r="D17" s="89"/>
      <c r="E17" s="89"/>
      <c r="F17" s="90"/>
      <c r="G17" s="27"/>
    </row>
    <row r="18" spans="1:10" x14ac:dyDescent="0.25">
      <c r="A18" s="6"/>
      <c r="B18" s="91"/>
      <c r="C18" s="92"/>
      <c r="D18" s="93"/>
      <c r="E18" s="17" t="s">
        <v>15</v>
      </c>
      <c r="F18" s="29">
        <f>SUM(F16:F16)</f>
        <v>0</v>
      </c>
      <c r="G18" s="8"/>
    </row>
    <row r="19" spans="1:10" x14ac:dyDescent="0.25">
      <c r="A19" s="6"/>
      <c r="G19" s="8"/>
    </row>
    <row r="20" spans="1:10" s="33" customFormat="1" x14ac:dyDescent="0.25">
      <c r="A20" s="30"/>
      <c r="B20" s="31"/>
      <c r="C20" s="31"/>
      <c r="D20" s="31"/>
      <c r="E20" s="31"/>
      <c r="F20" s="31"/>
      <c r="G20" s="32"/>
      <c r="J20" s="34"/>
    </row>
    <row r="21" spans="1:10" s="33" customFormat="1" x14ac:dyDescent="0.25">
      <c r="A21" s="30"/>
      <c r="B21" s="31"/>
      <c r="C21" s="5"/>
      <c r="D21" s="35"/>
      <c r="E21" s="31"/>
      <c r="F21" s="5"/>
      <c r="G21" s="32"/>
      <c r="J21" s="34"/>
    </row>
    <row r="22" spans="1:10" s="33" customFormat="1" x14ac:dyDescent="0.25">
      <c r="A22" s="30"/>
      <c r="B22" s="31"/>
      <c r="C22" s="5"/>
      <c r="D22" s="36"/>
      <c r="E22" s="36"/>
      <c r="F22" s="37"/>
      <c r="G22" s="32"/>
      <c r="J22" s="34"/>
    </row>
    <row r="23" spans="1:10" s="33" customFormat="1" x14ac:dyDescent="0.25">
      <c r="A23" s="30"/>
      <c r="B23" s="31"/>
      <c r="C23" s="5"/>
      <c r="D23" s="36"/>
      <c r="E23" s="36"/>
      <c r="F23" s="37"/>
      <c r="G23" s="32"/>
      <c r="J23" s="34"/>
    </row>
    <row r="24" spans="1:10" s="33" customFormat="1" x14ac:dyDescent="0.25">
      <c r="A24" s="30"/>
      <c r="B24" s="94"/>
      <c r="C24" s="94"/>
      <c r="D24" s="94"/>
      <c r="E24" s="94"/>
      <c r="F24" s="94"/>
      <c r="G24" s="95"/>
      <c r="J24" s="34"/>
    </row>
    <row r="25" spans="1:10" s="33" customFormat="1" x14ac:dyDescent="0.25">
      <c r="A25" s="30"/>
      <c r="B25" s="36"/>
      <c r="C25" s="36"/>
      <c r="D25" s="36"/>
      <c r="E25" s="36"/>
      <c r="F25" s="36"/>
      <c r="G25" s="38"/>
      <c r="J25" s="34"/>
    </row>
    <row r="26" spans="1:10" s="33" customFormat="1" x14ac:dyDescent="0.25">
      <c r="A26" s="30"/>
      <c r="B26" s="31"/>
      <c r="C26" s="37"/>
      <c r="D26" s="36"/>
      <c r="E26" s="36"/>
      <c r="F26" s="37"/>
      <c r="G26" s="32"/>
      <c r="J26" s="34"/>
    </row>
    <row r="27" spans="1:10" s="34" customFormat="1" x14ac:dyDescent="0.25">
      <c r="A27" s="39"/>
      <c r="B27" s="31"/>
      <c r="C27" s="37"/>
      <c r="D27" s="36"/>
      <c r="E27" s="36"/>
      <c r="F27" s="37"/>
      <c r="G27" s="32"/>
      <c r="H27" s="33"/>
      <c r="I27" s="33"/>
    </row>
    <row r="28" spans="1:10" s="34" customFormat="1" x14ac:dyDescent="0.25">
      <c r="A28" s="39"/>
      <c r="B28" s="31"/>
      <c r="C28" s="37"/>
      <c r="D28" s="36"/>
      <c r="E28" s="36"/>
      <c r="F28" s="37"/>
      <c r="G28" s="32"/>
      <c r="H28" s="33"/>
      <c r="I28" s="33"/>
    </row>
    <row r="29" spans="1:10" s="34" customFormat="1" ht="14.25" x14ac:dyDescent="0.25">
      <c r="A29" s="39"/>
      <c r="B29" s="35"/>
      <c r="C29" s="35"/>
      <c r="D29" s="35"/>
      <c r="E29" s="35"/>
      <c r="F29" s="35"/>
      <c r="G29" s="40"/>
      <c r="H29" s="33"/>
      <c r="I29" s="33"/>
    </row>
    <row r="30" spans="1:10" x14ac:dyDescent="0.25">
      <c r="A30" s="6"/>
      <c r="C30" s="41"/>
      <c r="D30" s="41"/>
      <c r="E30" s="41"/>
      <c r="G30" s="8"/>
    </row>
    <row r="31" spans="1:10" x14ac:dyDescent="0.25">
      <c r="A31" s="6"/>
      <c r="C31" s="41"/>
      <c r="D31" s="41"/>
      <c r="E31" s="41"/>
      <c r="G31" s="8"/>
    </row>
    <row r="32" spans="1:10" x14ac:dyDescent="0.25">
      <c r="A32" s="6"/>
      <c r="C32" s="41"/>
      <c r="D32" s="41"/>
      <c r="E32" s="41"/>
      <c r="G32" s="8"/>
    </row>
    <row r="33" spans="1:7" x14ac:dyDescent="0.25">
      <c r="A33" s="6"/>
      <c r="E33" s="42"/>
      <c r="G33" s="8"/>
    </row>
    <row r="34" spans="1:7" x14ac:dyDescent="0.25">
      <c r="A34" s="6"/>
      <c r="E34" s="43"/>
      <c r="G34" s="8"/>
    </row>
    <row r="35" spans="1:7" x14ac:dyDescent="0.25">
      <c r="A35" s="6"/>
      <c r="G35" s="8"/>
    </row>
    <row r="36" spans="1:7" ht="15.75" thickBot="1" x14ac:dyDescent="0.3">
      <c r="A36" s="44"/>
      <c r="B36" s="45"/>
      <c r="C36" s="45"/>
      <c r="D36" s="45"/>
      <c r="E36" s="45"/>
      <c r="F36" s="45"/>
      <c r="G36" s="46"/>
    </row>
  </sheetData>
  <mergeCells count="10">
    <mergeCell ref="B14:F14"/>
    <mergeCell ref="B17:F17"/>
    <mergeCell ref="B18:D18"/>
    <mergeCell ref="B24:G24"/>
    <mergeCell ref="B3:F3"/>
    <mergeCell ref="B5:F5"/>
    <mergeCell ref="A7:G7"/>
    <mergeCell ref="B9:F9"/>
    <mergeCell ref="E11:F11"/>
    <mergeCell ref="E12:F12"/>
  </mergeCells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view="pageBreakPreview" zoomScale="81" zoomScaleNormal="100" zoomScaleSheetLayoutView="81" workbookViewId="0">
      <selection activeCell="B15" sqref="B15"/>
    </sheetView>
  </sheetViews>
  <sheetFormatPr baseColWidth="10" defaultColWidth="11.42578125" defaultRowHeight="15" x14ac:dyDescent="0.25"/>
  <cols>
    <col min="1" max="1" width="2.5703125" style="5" customWidth="1"/>
    <col min="2" max="2" width="10.85546875" style="5" customWidth="1"/>
    <col min="3" max="3" width="9.42578125" style="5" customWidth="1"/>
    <col min="4" max="4" width="30.85546875" style="5" customWidth="1"/>
    <col min="5" max="5" width="57.5703125" style="5" customWidth="1"/>
    <col min="6" max="6" width="17" style="5" bestFit="1" customWidth="1"/>
    <col min="7" max="7" width="4.140625" style="5" customWidth="1"/>
    <col min="8" max="16384" width="11.42578125" style="5"/>
  </cols>
  <sheetData>
    <row r="1" spans="1:7" x14ac:dyDescent="0.25">
      <c r="A1" s="1"/>
      <c r="B1" s="2"/>
      <c r="C1" s="2"/>
      <c r="D1" s="2"/>
      <c r="E1" s="2"/>
      <c r="F1" s="3" t="s">
        <v>0</v>
      </c>
      <c r="G1" s="4"/>
    </row>
    <row r="2" spans="1:7" x14ac:dyDescent="0.25">
      <c r="A2" s="6"/>
      <c r="E2" s="7"/>
      <c r="G2" s="8"/>
    </row>
    <row r="3" spans="1:7" ht="15.75" x14ac:dyDescent="0.25">
      <c r="A3" s="6"/>
      <c r="B3" s="96" t="s">
        <v>1</v>
      </c>
      <c r="C3" s="96"/>
      <c r="D3" s="96"/>
      <c r="E3" s="96"/>
      <c r="F3" s="96"/>
      <c r="G3" s="8"/>
    </row>
    <row r="4" spans="1:7" x14ac:dyDescent="0.25">
      <c r="A4" s="6"/>
      <c r="B4" s="7"/>
      <c r="D4" s="9"/>
      <c r="E4" s="9"/>
      <c r="G4" s="8"/>
    </row>
    <row r="5" spans="1:7" x14ac:dyDescent="0.25">
      <c r="A5" s="6"/>
      <c r="B5" s="97" t="s">
        <v>2</v>
      </c>
      <c r="C5" s="97"/>
      <c r="D5" s="97"/>
      <c r="E5" s="97"/>
      <c r="F5" s="97"/>
      <c r="G5" s="10"/>
    </row>
    <row r="6" spans="1:7" x14ac:dyDescent="0.25">
      <c r="A6" s="6"/>
      <c r="F6" s="11"/>
      <c r="G6" s="12"/>
    </row>
    <row r="7" spans="1:7" x14ac:dyDescent="0.25">
      <c r="A7" s="98" t="s">
        <v>40</v>
      </c>
      <c r="B7" s="99"/>
      <c r="C7" s="99"/>
      <c r="D7" s="99"/>
      <c r="E7" s="99"/>
      <c r="F7" s="99"/>
      <c r="G7" s="100"/>
    </row>
    <row r="8" spans="1:7" ht="15.75" customHeight="1" thickBot="1" x14ac:dyDescent="0.3">
      <c r="A8" s="6"/>
      <c r="G8" s="12"/>
    </row>
    <row r="9" spans="1:7" x14ac:dyDescent="0.25">
      <c r="A9" s="13" t="s">
        <v>4</v>
      </c>
      <c r="B9" s="101" t="s">
        <v>41</v>
      </c>
      <c r="C9" s="101"/>
      <c r="D9" s="101"/>
      <c r="E9" s="101"/>
      <c r="F9" s="101"/>
      <c r="G9" s="14"/>
    </row>
    <row r="10" spans="1:7" x14ac:dyDescent="0.25">
      <c r="A10" s="6"/>
      <c r="G10" s="8"/>
    </row>
    <row r="11" spans="1:7" x14ac:dyDescent="0.25">
      <c r="A11" s="6"/>
      <c r="B11" s="11" t="s">
        <v>42</v>
      </c>
      <c r="E11" s="102" t="s">
        <v>43</v>
      </c>
      <c r="F11" s="102"/>
      <c r="G11" s="8"/>
    </row>
    <row r="12" spans="1:7" x14ac:dyDescent="0.25">
      <c r="A12" s="6"/>
      <c r="B12" s="11" t="s">
        <v>8</v>
      </c>
      <c r="E12" s="102" t="s">
        <v>9</v>
      </c>
      <c r="F12" s="102"/>
      <c r="G12" s="8"/>
    </row>
    <row r="13" spans="1:7" x14ac:dyDescent="0.25">
      <c r="A13" s="6"/>
      <c r="B13" s="11"/>
      <c r="E13" s="15"/>
      <c r="G13" s="8"/>
    </row>
    <row r="14" spans="1:7" x14ac:dyDescent="0.25">
      <c r="A14" s="6"/>
      <c r="B14" s="87" t="s">
        <v>76</v>
      </c>
      <c r="C14" s="87"/>
      <c r="D14" s="87"/>
      <c r="E14" s="87"/>
      <c r="F14" s="87"/>
      <c r="G14" s="8"/>
    </row>
    <row r="15" spans="1:7" s="20" customFormat="1" ht="25.5" x14ac:dyDescent="0.25">
      <c r="A15" s="16"/>
      <c r="B15" s="17" t="s">
        <v>10</v>
      </c>
      <c r="C15" s="18" t="s">
        <v>11</v>
      </c>
      <c r="D15" s="17" t="s">
        <v>12</v>
      </c>
      <c r="E15" s="17" t="s">
        <v>13</v>
      </c>
      <c r="F15" s="17" t="s">
        <v>14</v>
      </c>
      <c r="G15" s="19"/>
    </row>
    <row r="16" spans="1:7" s="28" customFormat="1" x14ac:dyDescent="0.25">
      <c r="A16" s="21"/>
      <c r="B16" s="22"/>
      <c r="C16" s="23"/>
      <c r="D16" s="24"/>
      <c r="E16" s="25"/>
      <c r="F16" s="26"/>
      <c r="G16" s="27"/>
    </row>
    <row r="17" spans="1:10" s="28" customFormat="1" x14ac:dyDescent="0.25">
      <c r="A17" s="21"/>
      <c r="B17" s="88"/>
      <c r="C17" s="89"/>
      <c r="D17" s="89"/>
      <c r="E17" s="89"/>
      <c r="F17" s="90"/>
      <c r="G17" s="27"/>
    </row>
    <row r="18" spans="1:10" x14ac:dyDescent="0.25">
      <c r="A18" s="6"/>
      <c r="B18" s="91"/>
      <c r="C18" s="92"/>
      <c r="D18" s="93"/>
      <c r="E18" s="17" t="s">
        <v>15</v>
      </c>
      <c r="F18" s="29">
        <f>SUM(F16:F16)</f>
        <v>0</v>
      </c>
      <c r="G18" s="8"/>
    </row>
    <row r="19" spans="1:10" x14ac:dyDescent="0.25">
      <c r="A19" s="6"/>
      <c r="G19" s="8"/>
    </row>
    <row r="20" spans="1:10" s="33" customFormat="1" x14ac:dyDescent="0.25">
      <c r="A20" s="30"/>
      <c r="B20" s="31"/>
      <c r="C20" s="31"/>
      <c r="D20" s="31"/>
      <c r="E20" s="31"/>
      <c r="F20" s="31"/>
      <c r="G20" s="32"/>
      <c r="J20" s="34"/>
    </row>
    <row r="21" spans="1:10" s="33" customFormat="1" x14ac:dyDescent="0.25">
      <c r="A21" s="30"/>
      <c r="B21" s="31"/>
      <c r="C21" s="5"/>
      <c r="D21" s="35"/>
      <c r="E21" s="31"/>
      <c r="F21" s="5"/>
      <c r="G21" s="32"/>
      <c r="J21" s="34"/>
    </row>
    <row r="22" spans="1:10" s="33" customFormat="1" x14ac:dyDescent="0.25">
      <c r="A22" s="30"/>
      <c r="B22" s="31"/>
      <c r="C22" s="5"/>
      <c r="D22" s="36"/>
      <c r="E22" s="36"/>
      <c r="F22" s="37"/>
      <c r="G22" s="32"/>
      <c r="J22" s="34"/>
    </row>
    <row r="23" spans="1:10" s="33" customFormat="1" x14ac:dyDescent="0.25">
      <c r="A23" s="30"/>
      <c r="B23" s="31"/>
      <c r="C23" s="5"/>
      <c r="D23" s="36"/>
      <c r="E23" s="36"/>
      <c r="F23" s="37"/>
      <c r="G23" s="32"/>
      <c r="J23" s="34"/>
    </row>
    <row r="24" spans="1:10" s="33" customFormat="1" x14ac:dyDescent="0.25">
      <c r="A24" s="30"/>
      <c r="B24" s="94"/>
      <c r="C24" s="94"/>
      <c r="D24" s="94"/>
      <c r="E24" s="94"/>
      <c r="F24" s="94"/>
      <c r="G24" s="95"/>
      <c r="J24" s="34"/>
    </row>
    <row r="25" spans="1:10" s="33" customFormat="1" x14ac:dyDescent="0.25">
      <c r="A25" s="30"/>
      <c r="B25" s="36"/>
      <c r="C25" s="36"/>
      <c r="D25" s="36"/>
      <c r="E25" s="36"/>
      <c r="F25" s="36"/>
      <c r="G25" s="38"/>
      <c r="J25" s="34"/>
    </row>
    <row r="26" spans="1:10" s="33" customFormat="1" x14ac:dyDescent="0.25">
      <c r="A26" s="30"/>
      <c r="B26" s="31"/>
      <c r="C26" s="37"/>
      <c r="D26" s="36"/>
      <c r="E26" s="36"/>
      <c r="F26" s="37"/>
      <c r="G26" s="32"/>
      <c r="J26" s="34"/>
    </row>
    <row r="27" spans="1:10" s="34" customFormat="1" x14ac:dyDescent="0.25">
      <c r="A27" s="39"/>
      <c r="B27" s="31"/>
      <c r="C27" s="37"/>
      <c r="D27" s="36"/>
      <c r="E27" s="36"/>
      <c r="F27" s="37"/>
      <c r="G27" s="32"/>
      <c r="H27" s="33"/>
      <c r="I27" s="33"/>
    </row>
    <row r="28" spans="1:10" s="34" customFormat="1" x14ac:dyDescent="0.25">
      <c r="A28" s="39"/>
      <c r="B28" s="31"/>
      <c r="C28" s="37"/>
      <c r="D28" s="36"/>
      <c r="E28" s="36"/>
      <c r="F28" s="37"/>
      <c r="G28" s="32"/>
      <c r="H28" s="33"/>
      <c r="I28" s="33"/>
    </row>
    <row r="29" spans="1:10" s="34" customFormat="1" ht="14.25" x14ac:dyDescent="0.25">
      <c r="A29" s="39"/>
      <c r="B29" s="35"/>
      <c r="C29" s="35"/>
      <c r="D29" s="35"/>
      <c r="E29" s="35"/>
      <c r="F29" s="35"/>
      <c r="G29" s="40"/>
      <c r="H29" s="33"/>
      <c r="I29" s="33"/>
    </row>
    <row r="30" spans="1:10" x14ac:dyDescent="0.25">
      <c r="A30" s="6"/>
      <c r="C30" s="41"/>
      <c r="D30" s="41"/>
      <c r="E30" s="41"/>
      <c r="G30" s="8"/>
    </row>
    <row r="31" spans="1:10" x14ac:dyDescent="0.25">
      <c r="A31" s="6"/>
      <c r="C31" s="41"/>
      <c r="D31" s="41"/>
      <c r="E31" s="41"/>
      <c r="G31" s="8"/>
    </row>
    <row r="32" spans="1:10" x14ac:dyDescent="0.25">
      <c r="A32" s="6"/>
      <c r="C32" s="41"/>
      <c r="D32" s="41"/>
      <c r="E32" s="41"/>
      <c r="G32" s="8"/>
    </row>
    <row r="33" spans="1:7" x14ac:dyDescent="0.25">
      <c r="A33" s="6"/>
      <c r="E33" s="42"/>
      <c r="G33" s="8"/>
    </row>
    <row r="34" spans="1:7" x14ac:dyDescent="0.25">
      <c r="A34" s="6"/>
      <c r="E34" s="43"/>
      <c r="G34" s="8"/>
    </row>
    <row r="35" spans="1:7" x14ac:dyDescent="0.25">
      <c r="A35" s="6"/>
      <c r="G35" s="8"/>
    </row>
    <row r="36" spans="1:7" ht="15.75" thickBot="1" x14ac:dyDescent="0.3">
      <c r="A36" s="44"/>
      <c r="B36" s="45"/>
      <c r="C36" s="45"/>
      <c r="D36" s="45"/>
      <c r="E36" s="45"/>
      <c r="F36" s="45"/>
      <c r="G36" s="46"/>
    </row>
  </sheetData>
  <mergeCells count="10">
    <mergeCell ref="B14:F14"/>
    <mergeCell ref="B17:F17"/>
    <mergeCell ref="B18:D18"/>
    <mergeCell ref="B24:G24"/>
    <mergeCell ref="B3:F3"/>
    <mergeCell ref="B5:F5"/>
    <mergeCell ref="A7:G7"/>
    <mergeCell ref="B9:F9"/>
    <mergeCell ref="E11:F11"/>
    <mergeCell ref="E12:F12"/>
  </mergeCells>
  <pageMargins left="0.7" right="0.7" top="0.75" bottom="0.75" header="0.3" footer="0.3"/>
  <pageSetup scale="6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view="pageBreakPreview" zoomScale="88" zoomScaleNormal="100" zoomScaleSheetLayoutView="88" workbookViewId="0">
      <selection activeCell="B15" sqref="B15"/>
    </sheetView>
  </sheetViews>
  <sheetFormatPr baseColWidth="10" defaultColWidth="11.42578125" defaultRowHeight="15" x14ac:dyDescent="0.25"/>
  <cols>
    <col min="1" max="1" width="2.5703125" style="5" customWidth="1"/>
    <col min="2" max="2" width="10.85546875" style="5" customWidth="1"/>
    <col min="3" max="3" width="9.42578125" style="5" customWidth="1"/>
    <col min="4" max="4" width="30.85546875" style="5" customWidth="1"/>
    <col min="5" max="5" width="57.5703125" style="5" customWidth="1"/>
    <col min="6" max="6" width="17" style="5" bestFit="1" customWidth="1"/>
    <col min="7" max="7" width="4.140625" style="5" customWidth="1"/>
    <col min="8" max="16384" width="11.42578125" style="5"/>
  </cols>
  <sheetData>
    <row r="1" spans="1:7" x14ac:dyDescent="0.25">
      <c r="A1" s="1"/>
      <c r="B1" s="2"/>
      <c r="C1" s="2"/>
      <c r="D1" s="2"/>
      <c r="E1" s="2"/>
      <c r="F1" s="3" t="s">
        <v>0</v>
      </c>
      <c r="G1" s="4"/>
    </row>
    <row r="2" spans="1:7" x14ac:dyDescent="0.25">
      <c r="A2" s="6"/>
      <c r="E2" s="7"/>
      <c r="G2" s="8"/>
    </row>
    <row r="3" spans="1:7" ht="15.75" x14ac:dyDescent="0.25">
      <c r="A3" s="6"/>
      <c r="B3" s="96" t="s">
        <v>1</v>
      </c>
      <c r="C3" s="96"/>
      <c r="D3" s="96"/>
      <c r="E3" s="96"/>
      <c r="F3" s="96"/>
      <c r="G3" s="8"/>
    </row>
    <row r="4" spans="1:7" x14ac:dyDescent="0.25">
      <c r="A4" s="6"/>
      <c r="B4" s="7"/>
      <c r="D4" s="9"/>
      <c r="E4" s="9"/>
      <c r="G4" s="8"/>
    </row>
    <row r="5" spans="1:7" x14ac:dyDescent="0.25">
      <c r="A5" s="6"/>
      <c r="B5" s="97" t="s">
        <v>2</v>
      </c>
      <c r="C5" s="97"/>
      <c r="D5" s="97"/>
      <c r="E5" s="97"/>
      <c r="F5" s="97"/>
      <c r="G5" s="10"/>
    </row>
    <row r="6" spans="1:7" x14ac:dyDescent="0.25">
      <c r="A6" s="6"/>
      <c r="F6" s="11"/>
      <c r="G6" s="12"/>
    </row>
    <row r="7" spans="1:7" x14ac:dyDescent="0.25">
      <c r="A7" s="98" t="s">
        <v>3</v>
      </c>
      <c r="B7" s="99"/>
      <c r="C7" s="99"/>
      <c r="D7" s="99"/>
      <c r="E7" s="99"/>
      <c r="F7" s="99"/>
      <c r="G7" s="100"/>
    </row>
    <row r="8" spans="1:7" ht="15.75" customHeight="1" thickBot="1" x14ac:dyDescent="0.3">
      <c r="A8" s="6"/>
      <c r="G8" s="12"/>
    </row>
    <row r="9" spans="1:7" x14ac:dyDescent="0.25">
      <c r="A9" s="13" t="s">
        <v>4</v>
      </c>
      <c r="B9" s="101" t="s">
        <v>5</v>
      </c>
      <c r="C9" s="101"/>
      <c r="D9" s="101"/>
      <c r="E9" s="101"/>
      <c r="F9" s="101"/>
      <c r="G9" s="14"/>
    </row>
    <row r="10" spans="1:7" x14ac:dyDescent="0.25">
      <c r="A10" s="6"/>
      <c r="G10" s="8"/>
    </row>
    <row r="11" spans="1:7" x14ac:dyDescent="0.25">
      <c r="A11" s="6"/>
      <c r="B11" s="11" t="s">
        <v>6</v>
      </c>
      <c r="E11" s="102" t="s">
        <v>7</v>
      </c>
      <c r="F11" s="102"/>
      <c r="G11" s="8"/>
    </row>
    <row r="12" spans="1:7" x14ac:dyDescent="0.25">
      <c r="A12" s="6"/>
      <c r="B12" s="11" t="s">
        <v>8</v>
      </c>
      <c r="E12" s="102" t="s">
        <v>9</v>
      </c>
      <c r="F12" s="102"/>
      <c r="G12" s="8"/>
    </row>
    <row r="13" spans="1:7" x14ac:dyDescent="0.25">
      <c r="A13" s="6"/>
      <c r="B13" s="11"/>
      <c r="E13" s="15"/>
      <c r="G13" s="8"/>
    </row>
    <row r="14" spans="1:7" x14ac:dyDescent="0.25">
      <c r="A14" s="6"/>
      <c r="B14" s="87" t="s">
        <v>76</v>
      </c>
      <c r="C14" s="87"/>
      <c r="D14" s="87"/>
      <c r="E14" s="87"/>
      <c r="F14" s="87"/>
      <c r="G14" s="8"/>
    </row>
    <row r="15" spans="1:7" s="20" customFormat="1" ht="25.5" x14ac:dyDescent="0.25">
      <c r="A15" s="16"/>
      <c r="B15" s="17" t="s">
        <v>10</v>
      </c>
      <c r="C15" s="18" t="s">
        <v>11</v>
      </c>
      <c r="D15" s="17" t="s">
        <v>12</v>
      </c>
      <c r="E15" s="17" t="s">
        <v>13</v>
      </c>
      <c r="F15" s="17" t="s">
        <v>14</v>
      </c>
      <c r="G15" s="19"/>
    </row>
    <row r="16" spans="1:7" s="28" customFormat="1" x14ac:dyDescent="0.25">
      <c r="A16" s="21"/>
      <c r="B16" s="22"/>
      <c r="C16" s="23"/>
      <c r="D16" s="24"/>
      <c r="E16" s="25"/>
      <c r="F16" s="26"/>
      <c r="G16" s="27"/>
    </row>
    <row r="17" spans="1:10" s="28" customFormat="1" x14ac:dyDescent="0.25">
      <c r="A17" s="21"/>
      <c r="B17" s="88"/>
      <c r="C17" s="89"/>
      <c r="D17" s="89"/>
      <c r="E17" s="89"/>
      <c r="F17" s="90"/>
      <c r="G17" s="27"/>
    </row>
    <row r="18" spans="1:10" x14ac:dyDescent="0.25">
      <c r="A18" s="6"/>
      <c r="B18" s="91"/>
      <c r="C18" s="92"/>
      <c r="D18" s="93"/>
      <c r="E18" s="17" t="s">
        <v>15</v>
      </c>
      <c r="F18" s="29">
        <f>SUM(F16:F16)</f>
        <v>0</v>
      </c>
      <c r="G18" s="8"/>
    </row>
    <row r="19" spans="1:10" x14ac:dyDescent="0.25">
      <c r="A19" s="6"/>
      <c r="G19" s="8"/>
    </row>
    <row r="20" spans="1:10" s="33" customFormat="1" x14ac:dyDescent="0.25">
      <c r="A20" s="30"/>
      <c r="B20" s="31"/>
      <c r="C20" s="31"/>
      <c r="D20" s="31"/>
      <c r="E20" s="31"/>
      <c r="F20" s="31"/>
      <c r="G20" s="32"/>
      <c r="J20" s="34"/>
    </row>
    <row r="21" spans="1:10" s="33" customFormat="1" x14ac:dyDescent="0.25">
      <c r="A21" s="30"/>
      <c r="B21" s="31"/>
      <c r="C21" s="5"/>
      <c r="D21" s="35"/>
      <c r="E21" s="31"/>
      <c r="F21" s="5"/>
      <c r="G21" s="32"/>
      <c r="J21" s="34"/>
    </row>
    <row r="22" spans="1:10" s="33" customFormat="1" x14ac:dyDescent="0.25">
      <c r="A22" s="30"/>
      <c r="B22" s="31"/>
      <c r="C22" s="5"/>
      <c r="D22" s="36"/>
      <c r="E22" s="36"/>
      <c r="F22" s="37"/>
      <c r="G22" s="32"/>
      <c r="J22" s="34"/>
    </row>
    <row r="23" spans="1:10" s="33" customFormat="1" x14ac:dyDescent="0.25">
      <c r="A23" s="30"/>
      <c r="B23" s="31"/>
      <c r="C23" s="5"/>
      <c r="D23" s="36"/>
      <c r="E23" s="36"/>
      <c r="F23" s="37"/>
      <c r="G23" s="32"/>
      <c r="J23" s="34"/>
    </row>
    <row r="24" spans="1:10" s="33" customFormat="1" x14ac:dyDescent="0.25">
      <c r="A24" s="30"/>
      <c r="B24" s="94"/>
      <c r="C24" s="94"/>
      <c r="D24" s="94"/>
      <c r="E24" s="94"/>
      <c r="F24" s="94"/>
      <c r="G24" s="95"/>
      <c r="J24" s="34"/>
    </row>
    <row r="25" spans="1:10" s="33" customFormat="1" x14ac:dyDescent="0.25">
      <c r="A25" s="30"/>
      <c r="B25" s="36"/>
      <c r="C25" s="36"/>
      <c r="D25" s="36"/>
      <c r="E25" s="36"/>
      <c r="F25" s="36"/>
      <c r="G25" s="38"/>
      <c r="J25" s="34"/>
    </row>
    <row r="26" spans="1:10" s="33" customFormat="1" x14ac:dyDescent="0.25">
      <c r="A26" s="30"/>
      <c r="B26" s="31"/>
      <c r="C26" s="37"/>
      <c r="D26" s="36"/>
      <c r="E26" s="36"/>
      <c r="F26" s="37"/>
      <c r="G26" s="32"/>
      <c r="J26" s="34"/>
    </row>
    <row r="27" spans="1:10" s="34" customFormat="1" x14ac:dyDescent="0.25">
      <c r="A27" s="39"/>
      <c r="B27" s="31"/>
      <c r="C27" s="37"/>
      <c r="D27" s="36"/>
      <c r="E27" s="36"/>
      <c r="F27" s="37"/>
      <c r="G27" s="32"/>
      <c r="H27" s="33"/>
      <c r="I27" s="33"/>
    </row>
    <row r="28" spans="1:10" s="34" customFormat="1" x14ac:dyDescent="0.25">
      <c r="A28" s="39"/>
      <c r="B28" s="31"/>
      <c r="C28" s="37"/>
      <c r="D28" s="36"/>
      <c r="E28" s="36"/>
      <c r="F28" s="37"/>
      <c r="G28" s="32"/>
      <c r="H28" s="33"/>
      <c r="I28" s="33"/>
    </row>
    <row r="29" spans="1:10" s="34" customFormat="1" ht="14.25" x14ac:dyDescent="0.25">
      <c r="A29" s="39"/>
      <c r="B29" s="35"/>
      <c r="C29" s="35"/>
      <c r="D29" s="35"/>
      <c r="E29" s="35"/>
      <c r="F29" s="35"/>
      <c r="G29" s="40"/>
      <c r="H29" s="33"/>
      <c r="I29" s="33"/>
    </row>
    <row r="30" spans="1:10" x14ac:dyDescent="0.25">
      <c r="A30" s="6"/>
      <c r="C30" s="41"/>
      <c r="D30" s="41"/>
      <c r="E30" s="41"/>
      <c r="G30" s="8"/>
    </row>
    <row r="31" spans="1:10" x14ac:dyDescent="0.25">
      <c r="A31" s="6"/>
      <c r="C31" s="41"/>
      <c r="D31" s="41"/>
      <c r="E31" s="41"/>
      <c r="G31" s="8"/>
    </row>
    <row r="32" spans="1:10" x14ac:dyDescent="0.25">
      <c r="A32" s="6"/>
      <c r="C32" s="41"/>
      <c r="D32" s="41"/>
      <c r="E32" s="41"/>
      <c r="G32" s="8"/>
    </row>
    <row r="33" spans="1:7" x14ac:dyDescent="0.25">
      <c r="A33" s="6"/>
      <c r="E33" s="42"/>
      <c r="G33" s="8"/>
    </row>
    <row r="34" spans="1:7" x14ac:dyDescent="0.25">
      <c r="A34" s="6"/>
      <c r="E34" s="43"/>
      <c r="G34" s="8"/>
    </row>
    <row r="35" spans="1:7" x14ac:dyDescent="0.25">
      <c r="A35" s="6"/>
      <c r="G35" s="8"/>
    </row>
    <row r="36" spans="1:7" ht="15.75" thickBot="1" x14ac:dyDescent="0.3">
      <c r="A36" s="44"/>
      <c r="B36" s="45"/>
      <c r="C36" s="45"/>
      <c r="D36" s="45"/>
      <c r="E36" s="45"/>
      <c r="F36" s="45"/>
      <c r="G36" s="46"/>
    </row>
  </sheetData>
  <mergeCells count="10">
    <mergeCell ref="B14:F14"/>
    <mergeCell ref="B17:F17"/>
    <mergeCell ref="B18:D18"/>
    <mergeCell ref="B24:G24"/>
    <mergeCell ref="B3:F3"/>
    <mergeCell ref="B5:F5"/>
    <mergeCell ref="A7:G7"/>
    <mergeCell ref="B9:F9"/>
    <mergeCell ref="E11:F11"/>
    <mergeCell ref="E12:F12"/>
  </mergeCells>
  <pageMargins left="0.7" right="0.7" top="0.75" bottom="0.75" header="0.3" footer="0.3"/>
  <pageSetup scale="6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view="pageBreakPreview" zoomScale="87" zoomScaleNormal="100" zoomScaleSheetLayoutView="87" workbookViewId="0">
      <selection activeCell="B15" sqref="B15"/>
    </sheetView>
  </sheetViews>
  <sheetFormatPr baseColWidth="10" defaultColWidth="11.42578125" defaultRowHeight="15" x14ac:dyDescent="0.25"/>
  <cols>
    <col min="1" max="1" width="2.5703125" style="5" customWidth="1"/>
    <col min="2" max="2" width="10.85546875" style="5" customWidth="1"/>
    <col min="3" max="3" width="9.42578125" style="5" customWidth="1"/>
    <col min="4" max="4" width="30.85546875" style="5" customWidth="1"/>
    <col min="5" max="5" width="57.5703125" style="5" customWidth="1"/>
    <col min="6" max="6" width="17" style="5" bestFit="1" customWidth="1"/>
    <col min="7" max="7" width="4.140625" style="5" customWidth="1"/>
    <col min="8" max="16384" width="11.42578125" style="5"/>
  </cols>
  <sheetData>
    <row r="1" spans="1:7" x14ac:dyDescent="0.25">
      <c r="A1" s="1"/>
      <c r="B1" s="2"/>
      <c r="C1" s="2"/>
      <c r="D1" s="2"/>
      <c r="E1" s="2"/>
      <c r="F1" s="3" t="s">
        <v>0</v>
      </c>
      <c r="G1" s="4"/>
    </row>
    <row r="2" spans="1:7" x14ac:dyDescent="0.25">
      <c r="A2" s="6"/>
      <c r="E2" s="7"/>
      <c r="G2" s="8"/>
    </row>
    <row r="3" spans="1:7" ht="15.75" x14ac:dyDescent="0.25">
      <c r="A3" s="6"/>
      <c r="B3" s="96" t="s">
        <v>1</v>
      </c>
      <c r="C3" s="96"/>
      <c r="D3" s="96"/>
      <c r="E3" s="96"/>
      <c r="F3" s="96"/>
      <c r="G3" s="8"/>
    </row>
    <row r="4" spans="1:7" x14ac:dyDescent="0.25">
      <c r="A4" s="6"/>
      <c r="B4" s="7"/>
      <c r="D4" s="9"/>
      <c r="E4" s="9"/>
      <c r="G4" s="8"/>
    </row>
    <row r="5" spans="1:7" x14ac:dyDescent="0.25">
      <c r="A5" s="6"/>
      <c r="B5" s="97" t="s">
        <v>2</v>
      </c>
      <c r="C5" s="97"/>
      <c r="D5" s="97"/>
      <c r="E5" s="97"/>
      <c r="F5" s="97"/>
      <c r="G5" s="10"/>
    </row>
    <row r="6" spans="1:7" ht="12.6" customHeight="1" x14ac:dyDescent="0.25">
      <c r="A6" s="6"/>
      <c r="F6" s="11"/>
      <c r="G6" s="12"/>
    </row>
    <row r="7" spans="1:7" x14ac:dyDescent="0.25">
      <c r="A7" s="98" t="s">
        <v>32</v>
      </c>
      <c r="B7" s="99"/>
      <c r="C7" s="99"/>
      <c r="D7" s="99"/>
      <c r="E7" s="99"/>
      <c r="F7" s="99"/>
      <c r="G7" s="100"/>
    </row>
    <row r="8" spans="1:7" ht="15.75" customHeight="1" thickBot="1" x14ac:dyDescent="0.3">
      <c r="A8" s="6"/>
      <c r="G8" s="12"/>
    </row>
    <row r="9" spans="1:7" x14ac:dyDescent="0.25">
      <c r="A9" s="13" t="s">
        <v>4</v>
      </c>
      <c r="B9" s="101" t="s">
        <v>33</v>
      </c>
      <c r="C9" s="101"/>
      <c r="D9" s="101"/>
      <c r="E9" s="101"/>
      <c r="F9" s="101"/>
      <c r="G9" s="14"/>
    </row>
    <row r="10" spans="1:7" x14ac:dyDescent="0.25">
      <c r="A10" s="6"/>
      <c r="G10" s="8"/>
    </row>
    <row r="11" spans="1:7" ht="20.25" customHeight="1" x14ac:dyDescent="0.25">
      <c r="A11" s="6"/>
      <c r="B11" s="11" t="s">
        <v>34</v>
      </c>
      <c r="E11" s="102" t="s">
        <v>35</v>
      </c>
      <c r="F11" s="102"/>
      <c r="G11" s="8"/>
    </row>
    <row r="12" spans="1:7" ht="20.25" customHeight="1" x14ac:dyDescent="0.25">
      <c r="A12" s="6"/>
      <c r="B12" s="11" t="s">
        <v>8</v>
      </c>
      <c r="E12" s="102" t="s">
        <v>9</v>
      </c>
      <c r="F12" s="102"/>
      <c r="G12" s="8"/>
    </row>
    <row r="13" spans="1:7" ht="1.5" customHeight="1" x14ac:dyDescent="0.25">
      <c r="A13" s="6"/>
      <c r="B13" s="11"/>
      <c r="E13" s="15"/>
      <c r="G13" s="8"/>
    </row>
    <row r="14" spans="1:7" ht="20.25" customHeight="1" x14ac:dyDescent="0.25">
      <c r="A14" s="6"/>
      <c r="B14" s="87" t="s">
        <v>76</v>
      </c>
      <c r="C14" s="87"/>
      <c r="D14" s="87"/>
      <c r="E14" s="87"/>
      <c r="F14" s="87"/>
      <c r="G14" s="8"/>
    </row>
    <row r="15" spans="1:7" s="20" customFormat="1" ht="25.5" x14ac:dyDescent="0.25">
      <c r="A15" s="16"/>
      <c r="B15" s="17" t="s">
        <v>10</v>
      </c>
      <c r="C15" s="18" t="s">
        <v>11</v>
      </c>
      <c r="D15" s="17" t="s">
        <v>12</v>
      </c>
      <c r="E15" s="17" t="s">
        <v>13</v>
      </c>
      <c r="F15" s="17" t="s">
        <v>14</v>
      </c>
      <c r="G15" s="19"/>
    </row>
    <row r="16" spans="1:7" s="28" customFormat="1" ht="77.45" customHeight="1" x14ac:dyDescent="0.25">
      <c r="A16" s="21"/>
      <c r="B16" s="22"/>
      <c r="C16" s="23"/>
      <c r="D16" s="24"/>
      <c r="E16" s="25"/>
      <c r="F16" s="26"/>
      <c r="G16" s="27"/>
    </row>
    <row r="17" spans="1:10" s="28" customFormat="1" ht="6" customHeight="1" x14ac:dyDescent="0.25">
      <c r="A17" s="21"/>
      <c r="B17" s="88"/>
      <c r="C17" s="89"/>
      <c r="D17" s="89"/>
      <c r="E17" s="89"/>
      <c r="F17" s="90"/>
      <c r="G17" s="27"/>
    </row>
    <row r="18" spans="1:10" ht="20.25" customHeight="1" x14ac:dyDescent="0.25">
      <c r="A18" s="6"/>
      <c r="B18" s="91"/>
      <c r="C18" s="92"/>
      <c r="D18" s="93"/>
      <c r="E18" s="17" t="s">
        <v>15</v>
      </c>
      <c r="F18" s="29">
        <f>SUM(F16:F16)</f>
        <v>0</v>
      </c>
      <c r="G18" s="8"/>
    </row>
    <row r="19" spans="1:10" x14ac:dyDescent="0.25">
      <c r="A19" s="6"/>
      <c r="G19" s="8"/>
    </row>
    <row r="20" spans="1:10" s="33" customFormat="1" x14ac:dyDescent="0.25">
      <c r="A20" s="30"/>
      <c r="B20" s="31"/>
      <c r="C20" s="31"/>
      <c r="D20" s="31"/>
      <c r="E20" s="31"/>
      <c r="F20" s="31"/>
      <c r="G20" s="32"/>
      <c r="J20" s="34"/>
    </row>
    <row r="21" spans="1:10" s="33" customFormat="1" x14ac:dyDescent="0.25">
      <c r="A21" s="30"/>
      <c r="B21" s="31"/>
      <c r="C21" s="5"/>
      <c r="D21" s="35"/>
      <c r="E21" s="31"/>
      <c r="F21" s="5"/>
      <c r="G21" s="32"/>
      <c r="J21" s="34"/>
    </row>
    <row r="22" spans="1:10" s="33" customFormat="1" x14ac:dyDescent="0.25">
      <c r="A22" s="30"/>
      <c r="B22" s="31"/>
      <c r="C22" s="5"/>
      <c r="D22" s="36"/>
      <c r="E22" s="36"/>
      <c r="F22" s="37"/>
      <c r="G22" s="32"/>
      <c r="J22" s="34"/>
    </row>
    <row r="23" spans="1:10" s="33" customFormat="1" x14ac:dyDescent="0.25">
      <c r="A23" s="30"/>
      <c r="B23" s="31"/>
      <c r="C23" s="5"/>
      <c r="D23" s="36"/>
      <c r="E23" s="36"/>
      <c r="F23" s="37"/>
      <c r="G23" s="32"/>
      <c r="J23" s="34"/>
    </row>
    <row r="24" spans="1:10" s="33" customFormat="1" x14ac:dyDescent="0.25">
      <c r="A24" s="30"/>
      <c r="B24" s="94"/>
      <c r="C24" s="94"/>
      <c r="D24" s="94"/>
      <c r="E24" s="94"/>
      <c r="F24" s="94"/>
      <c r="G24" s="95"/>
      <c r="J24" s="34"/>
    </row>
    <row r="25" spans="1:10" s="33" customFormat="1" x14ac:dyDescent="0.25">
      <c r="A25" s="30"/>
      <c r="B25" s="36"/>
      <c r="C25" s="36"/>
      <c r="D25" s="36"/>
      <c r="E25" s="36"/>
      <c r="F25" s="36"/>
      <c r="G25" s="38"/>
      <c r="J25" s="34"/>
    </row>
    <row r="26" spans="1:10" s="33" customFormat="1" ht="28.5" customHeight="1" x14ac:dyDescent="0.25">
      <c r="A26" s="30"/>
      <c r="B26" s="31"/>
      <c r="C26" s="37"/>
      <c r="D26" s="36"/>
      <c r="E26" s="36"/>
      <c r="F26" s="37"/>
      <c r="G26" s="32"/>
      <c r="J26" s="34"/>
    </row>
    <row r="27" spans="1:10" s="34" customFormat="1" x14ac:dyDescent="0.25">
      <c r="A27" s="39"/>
      <c r="B27" s="31"/>
      <c r="C27" s="37"/>
      <c r="D27" s="36"/>
      <c r="E27" s="36"/>
      <c r="F27" s="37"/>
      <c r="G27" s="32"/>
      <c r="H27" s="33"/>
      <c r="I27" s="33"/>
    </row>
    <row r="28" spans="1:10" s="34" customFormat="1" x14ac:dyDescent="0.25">
      <c r="A28" s="39"/>
      <c r="B28" s="31"/>
      <c r="C28" s="37"/>
      <c r="D28" s="36"/>
      <c r="E28" s="36"/>
      <c r="F28" s="37"/>
      <c r="G28" s="32"/>
      <c r="H28" s="33"/>
      <c r="I28" s="33"/>
    </row>
    <row r="29" spans="1:10" s="34" customFormat="1" ht="14.25" x14ac:dyDescent="0.25">
      <c r="A29" s="39"/>
      <c r="B29" s="35"/>
      <c r="C29" s="35"/>
      <c r="D29" s="35"/>
      <c r="E29" s="35"/>
      <c r="F29" s="35"/>
      <c r="G29" s="40"/>
      <c r="H29" s="33"/>
      <c r="I29" s="33"/>
    </row>
    <row r="30" spans="1:10" x14ac:dyDescent="0.25">
      <c r="A30" s="6"/>
      <c r="C30" s="41"/>
      <c r="D30" s="41"/>
      <c r="E30" s="41"/>
      <c r="G30" s="8"/>
    </row>
    <row r="31" spans="1:10" x14ac:dyDescent="0.25">
      <c r="A31" s="6"/>
      <c r="C31" s="41"/>
      <c r="D31" s="41"/>
      <c r="E31" s="41"/>
      <c r="G31" s="8"/>
    </row>
    <row r="32" spans="1:10" x14ac:dyDescent="0.25">
      <c r="A32" s="6"/>
      <c r="C32" s="41"/>
      <c r="D32" s="41"/>
      <c r="E32" s="41"/>
      <c r="G32" s="8"/>
    </row>
    <row r="33" spans="1:7" x14ac:dyDescent="0.25">
      <c r="A33" s="6"/>
      <c r="E33" s="42"/>
      <c r="G33" s="8"/>
    </row>
    <row r="34" spans="1:7" x14ac:dyDescent="0.25">
      <c r="A34" s="6"/>
      <c r="E34" s="43"/>
      <c r="G34" s="8"/>
    </row>
    <row r="35" spans="1:7" x14ac:dyDescent="0.25">
      <c r="A35" s="6"/>
      <c r="G35" s="8"/>
    </row>
    <row r="36" spans="1:7" ht="15.75" thickBot="1" x14ac:dyDescent="0.3">
      <c r="A36" s="44"/>
      <c r="B36" s="45"/>
      <c r="C36" s="45"/>
      <c r="D36" s="45"/>
      <c r="E36" s="45"/>
      <c r="F36" s="45"/>
      <c r="G36" s="46"/>
    </row>
  </sheetData>
  <mergeCells count="10">
    <mergeCell ref="B14:F14"/>
    <mergeCell ref="B17:F17"/>
    <mergeCell ref="B18:D18"/>
    <mergeCell ref="B24:G24"/>
    <mergeCell ref="B3:F3"/>
    <mergeCell ref="B5:F5"/>
    <mergeCell ref="A7:G7"/>
    <mergeCell ref="B9:F9"/>
    <mergeCell ref="E11:F11"/>
    <mergeCell ref="E12:F12"/>
  </mergeCells>
  <pageMargins left="0.7" right="0.7" top="0.75" bottom="0.75" header="0.3" footer="0.3"/>
  <pageSetup scale="6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view="pageBreakPreview" zoomScale="95" zoomScaleNormal="100" zoomScaleSheetLayoutView="95" workbookViewId="0">
      <selection activeCell="B15" sqref="B15"/>
    </sheetView>
  </sheetViews>
  <sheetFormatPr baseColWidth="10" defaultColWidth="11.42578125" defaultRowHeight="15" x14ac:dyDescent="0.25"/>
  <cols>
    <col min="1" max="1" width="2.5703125" style="5" customWidth="1"/>
    <col min="2" max="2" width="10.85546875" style="5" customWidth="1"/>
    <col min="3" max="3" width="9.42578125" style="5" customWidth="1"/>
    <col min="4" max="4" width="30.85546875" style="5" customWidth="1"/>
    <col min="5" max="5" width="57.5703125" style="5" customWidth="1"/>
    <col min="6" max="6" width="17" style="5" bestFit="1" customWidth="1"/>
    <col min="7" max="7" width="4.7109375" style="5" customWidth="1"/>
    <col min="8" max="16384" width="11.42578125" style="5"/>
  </cols>
  <sheetData>
    <row r="1" spans="1:7" x14ac:dyDescent="0.25">
      <c r="A1" s="1"/>
      <c r="B1" s="2"/>
      <c r="C1" s="2"/>
      <c r="D1" s="2"/>
      <c r="E1" s="2"/>
      <c r="F1" s="3" t="s">
        <v>0</v>
      </c>
      <c r="G1" s="4"/>
    </row>
    <row r="2" spans="1:7" x14ac:dyDescent="0.25">
      <c r="A2" s="6"/>
      <c r="E2" s="7"/>
      <c r="G2" s="8"/>
    </row>
    <row r="3" spans="1:7" ht="15.75" x14ac:dyDescent="0.25">
      <c r="A3" s="6"/>
      <c r="B3" s="96" t="s">
        <v>1</v>
      </c>
      <c r="C3" s="96"/>
      <c r="D3" s="96"/>
      <c r="E3" s="96"/>
      <c r="F3" s="96"/>
      <c r="G3" s="8"/>
    </row>
    <row r="4" spans="1:7" x14ac:dyDescent="0.25">
      <c r="A4" s="6"/>
      <c r="B4" s="7"/>
      <c r="D4" s="9"/>
      <c r="E4" s="9"/>
      <c r="G4" s="8"/>
    </row>
    <row r="5" spans="1:7" x14ac:dyDescent="0.25">
      <c r="A5" s="6"/>
      <c r="B5" s="97" t="s">
        <v>2</v>
      </c>
      <c r="C5" s="97"/>
      <c r="D5" s="97"/>
      <c r="E5" s="97"/>
      <c r="F5" s="97"/>
      <c r="G5" s="10"/>
    </row>
    <row r="6" spans="1:7" ht="12.6" customHeight="1" x14ac:dyDescent="0.25">
      <c r="A6" s="6"/>
      <c r="F6" s="11"/>
      <c r="G6" s="12"/>
    </row>
    <row r="7" spans="1:7" x14ac:dyDescent="0.25">
      <c r="A7" s="98" t="s">
        <v>20</v>
      </c>
      <c r="B7" s="99"/>
      <c r="C7" s="99"/>
      <c r="D7" s="99"/>
      <c r="E7" s="99"/>
      <c r="F7" s="99"/>
      <c r="G7" s="100"/>
    </row>
    <row r="8" spans="1:7" ht="15.75" customHeight="1" thickBot="1" x14ac:dyDescent="0.3">
      <c r="A8" s="6"/>
      <c r="G8" s="12"/>
    </row>
    <row r="9" spans="1:7" x14ac:dyDescent="0.25">
      <c r="A9" s="13" t="s">
        <v>4</v>
      </c>
      <c r="B9" s="101" t="s">
        <v>21</v>
      </c>
      <c r="C9" s="101"/>
      <c r="D9" s="101"/>
      <c r="E9" s="101"/>
      <c r="F9" s="101"/>
      <c r="G9" s="14"/>
    </row>
    <row r="10" spans="1:7" x14ac:dyDescent="0.25">
      <c r="A10" s="6"/>
      <c r="G10" s="8"/>
    </row>
    <row r="11" spans="1:7" ht="20.25" customHeight="1" x14ac:dyDescent="0.25">
      <c r="A11" s="6"/>
      <c r="B11" s="11" t="s">
        <v>22</v>
      </c>
      <c r="E11" s="102" t="s">
        <v>23</v>
      </c>
      <c r="F11" s="102"/>
      <c r="G11" s="8"/>
    </row>
    <row r="12" spans="1:7" ht="20.25" customHeight="1" x14ac:dyDescent="0.25">
      <c r="A12" s="6"/>
      <c r="B12" s="11" t="s">
        <v>24</v>
      </c>
      <c r="E12" s="102" t="s">
        <v>25</v>
      </c>
      <c r="F12" s="102"/>
      <c r="G12" s="8"/>
    </row>
    <row r="13" spans="1:7" ht="1.5" customHeight="1" x14ac:dyDescent="0.25">
      <c r="A13" s="6"/>
      <c r="B13" s="11"/>
      <c r="E13" s="15"/>
      <c r="G13" s="8"/>
    </row>
    <row r="14" spans="1:7" ht="20.25" customHeight="1" x14ac:dyDescent="0.25">
      <c r="A14" s="6"/>
      <c r="B14" s="87" t="s">
        <v>76</v>
      </c>
      <c r="C14" s="87"/>
      <c r="D14" s="87"/>
      <c r="E14" s="87"/>
      <c r="F14" s="87"/>
      <c r="G14" s="8"/>
    </row>
    <row r="15" spans="1:7" s="20" customFormat="1" ht="25.5" x14ac:dyDescent="0.25">
      <c r="A15" s="16"/>
      <c r="B15" s="17" t="s">
        <v>10</v>
      </c>
      <c r="C15" s="18" t="s">
        <v>11</v>
      </c>
      <c r="D15" s="17" t="s">
        <v>12</v>
      </c>
      <c r="E15" s="17" t="s">
        <v>13</v>
      </c>
      <c r="F15" s="17" t="s">
        <v>14</v>
      </c>
      <c r="G15" s="19"/>
    </row>
    <row r="16" spans="1:7" s="28" customFormat="1" ht="77.45" customHeight="1" x14ac:dyDescent="0.25">
      <c r="A16" s="21"/>
      <c r="B16" s="22"/>
      <c r="C16" s="23"/>
      <c r="D16" s="24"/>
      <c r="E16" s="25"/>
      <c r="F16" s="26"/>
      <c r="G16" s="27"/>
    </row>
    <row r="17" spans="1:10" s="28" customFormat="1" ht="6" customHeight="1" x14ac:dyDescent="0.25">
      <c r="A17" s="21"/>
      <c r="B17" s="88"/>
      <c r="C17" s="89"/>
      <c r="D17" s="89"/>
      <c r="E17" s="89"/>
      <c r="F17" s="90"/>
      <c r="G17" s="27"/>
    </row>
    <row r="18" spans="1:10" ht="20.25" customHeight="1" x14ac:dyDescent="0.25">
      <c r="A18" s="6"/>
      <c r="B18" s="91"/>
      <c r="C18" s="92"/>
      <c r="D18" s="93"/>
      <c r="E18" s="17" t="s">
        <v>15</v>
      </c>
      <c r="F18" s="29">
        <f>SUM(F16:F16)</f>
        <v>0</v>
      </c>
      <c r="G18" s="8"/>
    </row>
    <row r="19" spans="1:10" x14ac:dyDescent="0.25">
      <c r="A19" s="6"/>
      <c r="G19" s="8"/>
    </row>
    <row r="20" spans="1:10" s="33" customFormat="1" x14ac:dyDescent="0.25">
      <c r="A20" s="30"/>
      <c r="B20" s="31"/>
      <c r="C20" s="31"/>
      <c r="D20" s="31"/>
      <c r="E20" s="31"/>
      <c r="F20" s="31"/>
      <c r="G20" s="32"/>
      <c r="J20" s="34"/>
    </row>
    <row r="21" spans="1:10" s="33" customFormat="1" x14ac:dyDescent="0.25">
      <c r="A21" s="30"/>
      <c r="B21" s="31"/>
      <c r="C21" s="5"/>
      <c r="D21" s="35"/>
      <c r="E21" s="31"/>
      <c r="F21" s="5"/>
      <c r="G21" s="32"/>
      <c r="J21" s="34"/>
    </row>
    <row r="22" spans="1:10" s="33" customFormat="1" x14ac:dyDescent="0.25">
      <c r="A22" s="30"/>
      <c r="B22" s="31"/>
      <c r="C22" s="5"/>
      <c r="D22" s="36"/>
      <c r="E22" s="36"/>
      <c r="F22" s="37"/>
      <c r="G22" s="32"/>
      <c r="J22" s="34"/>
    </row>
    <row r="23" spans="1:10" s="33" customFormat="1" x14ac:dyDescent="0.25">
      <c r="A23" s="30"/>
      <c r="B23" s="31"/>
      <c r="C23" s="5"/>
      <c r="D23" s="36"/>
      <c r="E23" s="36"/>
      <c r="F23" s="37"/>
      <c r="G23" s="32"/>
      <c r="J23" s="34"/>
    </row>
    <row r="24" spans="1:10" s="33" customFormat="1" x14ac:dyDescent="0.25">
      <c r="A24" s="30"/>
      <c r="B24" s="94"/>
      <c r="C24" s="94"/>
      <c r="D24" s="94"/>
      <c r="E24" s="94"/>
      <c r="F24" s="94"/>
      <c r="G24" s="95"/>
      <c r="J24" s="34"/>
    </row>
    <row r="25" spans="1:10" s="33" customFormat="1" x14ac:dyDescent="0.25">
      <c r="A25" s="30"/>
      <c r="B25" s="36"/>
      <c r="C25" s="36"/>
      <c r="D25" s="36"/>
      <c r="E25" s="36"/>
      <c r="F25" s="36"/>
      <c r="G25" s="38"/>
      <c r="J25" s="34"/>
    </row>
    <row r="26" spans="1:10" s="33" customFormat="1" ht="28.5" customHeight="1" x14ac:dyDescent="0.25">
      <c r="A26" s="30"/>
      <c r="B26" s="31"/>
      <c r="C26" s="37"/>
      <c r="D26" s="36"/>
      <c r="E26" s="36"/>
      <c r="F26" s="37"/>
      <c r="G26" s="32"/>
      <c r="J26" s="34"/>
    </row>
    <row r="27" spans="1:10" s="34" customFormat="1" x14ac:dyDescent="0.25">
      <c r="A27" s="39"/>
      <c r="B27" s="31"/>
      <c r="C27" s="37"/>
      <c r="D27" s="36"/>
      <c r="E27" s="36"/>
      <c r="F27" s="37"/>
      <c r="G27" s="32"/>
      <c r="H27" s="33"/>
      <c r="I27" s="33"/>
    </row>
    <row r="28" spans="1:10" s="34" customFormat="1" x14ac:dyDescent="0.25">
      <c r="A28" s="39"/>
      <c r="B28" s="31"/>
      <c r="C28" s="37"/>
      <c r="D28" s="36"/>
      <c r="E28" s="36"/>
      <c r="F28" s="37"/>
      <c r="G28" s="32"/>
      <c r="H28" s="33"/>
      <c r="I28" s="33"/>
    </row>
    <row r="29" spans="1:10" s="34" customFormat="1" ht="14.25" x14ac:dyDescent="0.25">
      <c r="A29" s="39"/>
      <c r="B29" s="35"/>
      <c r="C29" s="35"/>
      <c r="D29" s="35"/>
      <c r="E29" s="35"/>
      <c r="F29" s="35"/>
      <c r="G29" s="40"/>
      <c r="H29" s="33"/>
      <c r="I29" s="33"/>
    </row>
    <row r="30" spans="1:10" x14ac:dyDescent="0.25">
      <c r="A30" s="6"/>
      <c r="C30" s="41"/>
      <c r="D30" s="41"/>
      <c r="E30" s="41"/>
      <c r="G30" s="8"/>
    </row>
    <row r="31" spans="1:10" x14ac:dyDescent="0.25">
      <c r="A31" s="6"/>
      <c r="C31" s="41"/>
      <c r="D31" s="41"/>
      <c r="E31" s="41"/>
      <c r="G31" s="8"/>
    </row>
    <row r="32" spans="1:10" x14ac:dyDescent="0.25">
      <c r="A32" s="6"/>
      <c r="C32" s="41"/>
      <c r="D32" s="41"/>
      <c r="E32" s="41"/>
      <c r="G32" s="8"/>
    </row>
    <row r="33" spans="1:7" x14ac:dyDescent="0.25">
      <c r="A33" s="6"/>
      <c r="E33" s="42"/>
      <c r="G33" s="8"/>
    </row>
    <row r="34" spans="1:7" x14ac:dyDescent="0.25">
      <c r="A34" s="6"/>
      <c r="E34" s="43"/>
      <c r="G34" s="8"/>
    </row>
    <row r="35" spans="1:7" x14ac:dyDescent="0.25">
      <c r="A35" s="6"/>
      <c r="G35" s="8"/>
    </row>
    <row r="36" spans="1:7" ht="15.75" thickBot="1" x14ac:dyDescent="0.3">
      <c r="A36" s="44"/>
      <c r="B36" s="45"/>
      <c r="C36" s="45"/>
      <c r="D36" s="45"/>
      <c r="E36" s="45"/>
      <c r="F36" s="45"/>
      <c r="G36" s="46"/>
    </row>
  </sheetData>
  <mergeCells count="10">
    <mergeCell ref="B14:F14"/>
    <mergeCell ref="B17:F17"/>
    <mergeCell ref="B18:D18"/>
    <mergeCell ref="B24:G24"/>
    <mergeCell ref="B3:F3"/>
    <mergeCell ref="B5:F5"/>
    <mergeCell ref="A7:G7"/>
    <mergeCell ref="B9:F9"/>
    <mergeCell ref="E11:F11"/>
    <mergeCell ref="E12:F12"/>
  </mergeCells>
  <pageMargins left="0.7" right="0.7" top="0.75" bottom="0.75" header="0.3" footer="0.3"/>
  <pageSetup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view="pageBreakPreview" zoomScale="94" zoomScaleNormal="100" zoomScaleSheetLayoutView="94" workbookViewId="0">
      <selection activeCell="B15" sqref="B15"/>
    </sheetView>
  </sheetViews>
  <sheetFormatPr baseColWidth="10" defaultColWidth="11.42578125" defaultRowHeight="15" x14ac:dyDescent="0.25"/>
  <cols>
    <col min="1" max="1" width="2.5703125" style="5" customWidth="1"/>
    <col min="2" max="2" width="10.85546875" style="5" customWidth="1"/>
    <col min="3" max="3" width="9.42578125" style="5" customWidth="1"/>
    <col min="4" max="4" width="30.85546875" style="5" customWidth="1"/>
    <col min="5" max="5" width="57.5703125" style="5" customWidth="1"/>
    <col min="6" max="6" width="17" style="5" bestFit="1" customWidth="1"/>
    <col min="7" max="7" width="2.140625" style="5" customWidth="1"/>
    <col min="8" max="16384" width="11.42578125" style="5"/>
  </cols>
  <sheetData>
    <row r="1" spans="1:7" x14ac:dyDescent="0.25">
      <c r="A1" s="1"/>
      <c r="B1" s="2"/>
      <c r="C1" s="2"/>
      <c r="D1" s="2"/>
      <c r="E1" s="2"/>
      <c r="F1" s="3" t="s">
        <v>0</v>
      </c>
      <c r="G1" s="4"/>
    </row>
    <row r="2" spans="1:7" x14ac:dyDescent="0.25">
      <c r="A2" s="6"/>
      <c r="E2" s="7"/>
      <c r="G2" s="8"/>
    </row>
    <row r="3" spans="1:7" ht="15.75" x14ac:dyDescent="0.25">
      <c r="A3" s="6"/>
      <c r="B3" s="96" t="s">
        <v>1</v>
      </c>
      <c r="C3" s="96"/>
      <c r="D3" s="96"/>
      <c r="E3" s="96"/>
      <c r="F3" s="96"/>
      <c r="G3" s="8"/>
    </row>
    <row r="4" spans="1:7" x14ac:dyDescent="0.25">
      <c r="A4" s="6"/>
      <c r="B4" s="7"/>
      <c r="D4" s="9"/>
      <c r="E4" s="9"/>
      <c r="G4" s="8"/>
    </row>
    <row r="5" spans="1:7" x14ac:dyDescent="0.25">
      <c r="A5" s="6"/>
      <c r="B5" s="97" t="s">
        <v>2</v>
      </c>
      <c r="C5" s="97"/>
      <c r="D5" s="97"/>
      <c r="E5" s="97"/>
      <c r="F5" s="97"/>
      <c r="G5" s="10"/>
    </row>
    <row r="6" spans="1:7" x14ac:dyDescent="0.25">
      <c r="A6" s="6"/>
      <c r="F6" s="11"/>
      <c r="G6" s="12"/>
    </row>
    <row r="7" spans="1:7" x14ac:dyDescent="0.25">
      <c r="A7" s="98" t="s">
        <v>36</v>
      </c>
      <c r="B7" s="99"/>
      <c r="C7" s="99"/>
      <c r="D7" s="99"/>
      <c r="E7" s="99"/>
      <c r="F7" s="99"/>
      <c r="G7" s="100"/>
    </row>
    <row r="8" spans="1:7" ht="15.75" customHeight="1" thickBot="1" x14ac:dyDescent="0.3">
      <c r="A8" s="6"/>
      <c r="G8" s="12"/>
    </row>
    <row r="9" spans="1:7" x14ac:dyDescent="0.25">
      <c r="A9" s="13" t="s">
        <v>4</v>
      </c>
      <c r="B9" s="101" t="s">
        <v>37</v>
      </c>
      <c r="C9" s="101"/>
      <c r="D9" s="101"/>
      <c r="E9" s="101"/>
      <c r="F9" s="101"/>
      <c r="G9" s="14"/>
    </row>
    <row r="10" spans="1:7" x14ac:dyDescent="0.25">
      <c r="A10" s="6"/>
      <c r="G10" s="8"/>
    </row>
    <row r="11" spans="1:7" x14ac:dyDescent="0.25">
      <c r="A11" s="6"/>
      <c r="B11" s="11" t="s">
        <v>38</v>
      </c>
      <c r="E11" s="102" t="s">
        <v>39</v>
      </c>
      <c r="F11" s="102"/>
      <c r="G11" s="8"/>
    </row>
    <row r="12" spans="1:7" x14ac:dyDescent="0.25">
      <c r="A12" s="6"/>
      <c r="B12" s="11" t="s">
        <v>30</v>
      </c>
      <c r="E12" s="102" t="s">
        <v>31</v>
      </c>
      <c r="F12" s="102"/>
      <c r="G12" s="8"/>
    </row>
    <row r="13" spans="1:7" x14ac:dyDescent="0.25">
      <c r="A13" s="6"/>
      <c r="B13" s="11"/>
      <c r="E13" s="15"/>
      <c r="G13" s="8"/>
    </row>
    <row r="14" spans="1:7" x14ac:dyDescent="0.25">
      <c r="A14" s="6"/>
      <c r="B14" s="87" t="s">
        <v>76</v>
      </c>
      <c r="C14" s="87"/>
      <c r="D14" s="87"/>
      <c r="E14" s="87"/>
      <c r="F14" s="87"/>
      <c r="G14" s="8"/>
    </row>
    <row r="15" spans="1:7" s="20" customFormat="1" ht="25.5" x14ac:dyDescent="0.25">
      <c r="A15" s="16"/>
      <c r="B15" s="17" t="s">
        <v>10</v>
      </c>
      <c r="C15" s="18" t="s">
        <v>11</v>
      </c>
      <c r="D15" s="17" t="s">
        <v>12</v>
      </c>
      <c r="E15" s="17" t="s">
        <v>13</v>
      </c>
      <c r="F15" s="17" t="s">
        <v>14</v>
      </c>
      <c r="G15" s="19"/>
    </row>
    <row r="16" spans="1:7" s="28" customFormat="1" x14ac:dyDescent="0.25">
      <c r="A16" s="21"/>
      <c r="B16" s="22"/>
      <c r="C16" s="23"/>
      <c r="D16" s="24"/>
      <c r="E16" s="25"/>
      <c r="F16" s="26"/>
      <c r="G16" s="27"/>
    </row>
    <row r="17" spans="1:10" s="28" customFormat="1" x14ac:dyDescent="0.25">
      <c r="A17" s="21"/>
      <c r="B17" s="88"/>
      <c r="C17" s="89"/>
      <c r="D17" s="89"/>
      <c r="E17" s="89"/>
      <c r="F17" s="90"/>
      <c r="G17" s="48"/>
    </row>
    <row r="18" spans="1:10" x14ac:dyDescent="0.25">
      <c r="A18" s="6"/>
      <c r="B18" s="91"/>
      <c r="C18" s="92"/>
      <c r="D18" s="93"/>
      <c r="E18" s="17" t="s">
        <v>15</v>
      </c>
      <c r="F18" s="29">
        <f>SUM(F16:F16)</f>
        <v>0</v>
      </c>
      <c r="G18" s="8"/>
    </row>
    <row r="19" spans="1:10" x14ac:dyDescent="0.25">
      <c r="A19" s="6"/>
      <c r="G19" s="8"/>
    </row>
    <row r="20" spans="1:10" s="33" customFormat="1" x14ac:dyDescent="0.25">
      <c r="A20" s="30"/>
      <c r="B20" s="31"/>
      <c r="C20" s="31"/>
      <c r="D20" s="31"/>
      <c r="E20" s="31"/>
      <c r="F20" s="31"/>
      <c r="G20" s="32"/>
      <c r="J20" s="34"/>
    </row>
    <row r="21" spans="1:10" s="33" customFormat="1" x14ac:dyDescent="0.25">
      <c r="A21" s="30"/>
      <c r="B21" s="31"/>
      <c r="C21" s="5"/>
      <c r="D21" s="35"/>
      <c r="E21" s="31"/>
      <c r="F21" s="5"/>
      <c r="G21" s="32"/>
      <c r="J21" s="34"/>
    </row>
    <row r="22" spans="1:10" s="33" customFormat="1" x14ac:dyDescent="0.25">
      <c r="A22" s="30"/>
      <c r="B22" s="31"/>
      <c r="C22" s="5"/>
      <c r="D22" s="36"/>
      <c r="E22" s="36"/>
      <c r="F22" s="37"/>
      <c r="G22" s="32"/>
      <c r="J22" s="34"/>
    </row>
    <row r="23" spans="1:10" s="33" customFormat="1" x14ac:dyDescent="0.25">
      <c r="A23" s="30"/>
      <c r="B23" s="31"/>
      <c r="C23" s="5"/>
      <c r="D23" s="36"/>
      <c r="E23" s="36"/>
      <c r="F23" s="37"/>
      <c r="G23" s="32"/>
      <c r="J23" s="34"/>
    </row>
    <row r="24" spans="1:10" s="33" customFormat="1" x14ac:dyDescent="0.25">
      <c r="A24" s="30"/>
      <c r="B24" s="94"/>
      <c r="C24" s="94"/>
      <c r="D24" s="94"/>
      <c r="E24" s="94"/>
      <c r="F24" s="94"/>
      <c r="G24" s="95"/>
      <c r="J24" s="34"/>
    </row>
    <row r="25" spans="1:10" s="33" customFormat="1" x14ac:dyDescent="0.25">
      <c r="A25" s="30"/>
      <c r="B25" s="36"/>
      <c r="C25" s="36"/>
      <c r="D25" s="36"/>
      <c r="E25" s="36"/>
      <c r="F25" s="36"/>
      <c r="G25" s="38"/>
      <c r="J25" s="34"/>
    </row>
    <row r="26" spans="1:10" s="33" customFormat="1" x14ac:dyDescent="0.25">
      <c r="A26" s="30"/>
      <c r="B26" s="31"/>
      <c r="C26" s="37"/>
      <c r="D26" s="36"/>
      <c r="E26" s="36"/>
      <c r="F26" s="37"/>
      <c r="G26" s="32"/>
      <c r="J26" s="34"/>
    </row>
    <row r="27" spans="1:10" s="34" customFormat="1" x14ac:dyDescent="0.25">
      <c r="A27" s="39"/>
      <c r="B27" s="31"/>
      <c r="C27" s="37"/>
      <c r="D27" s="36"/>
      <c r="E27" s="36"/>
      <c r="F27" s="37"/>
      <c r="G27" s="32"/>
      <c r="H27" s="33"/>
      <c r="I27" s="33"/>
    </row>
    <row r="28" spans="1:10" s="34" customFormat="1" x14ac:dyDescent="0.25">
      <c r="A28" s="39"/>
      <c r="B28" s="31"/>
      <c r="C28" s="37"/>
      <c r="D28" s="36"/>
      <c r="E28" s="36"/>
      <c r="F28" s="37"/>
      <c r="G28" s="32"/>
      <c r="H28" s="33"/>
      <c r="I28" s="33"/>
    </row>
    <row r="29" spans="1:10" s="34" customFormat="1" ht="14.25" x14ac:dyDescent="0.25">
      <c r="A29" s="39"/>
      <c r="B29" s="35"/>
      <c r="C29" s="35"/>
      <c r="D29" s="35"/>
      <c r="E29" s="35"/>
      <c r="F29" s="35"/>
      <c r="G29" s="40"/>
      <c r="H29" s="33"/>
      <c r="I29" s="33"/>
    </row>
    <row r="30" spans="1:10" x14ac:dyDescent="0.25">
      <c r="A30" s="6"/>
      <c r="C30" s="41"/>
      <c r="D30" s="41"/>
      <c r="E30" s="41"/>
      <c r="G30" s="8"/>
    </row>
    <row r="31" spans="1:10" x14ac:dyDescent="0.25">
      <c r="A31" s="6"/>
      <c r="C31" s="41"/>
      <c r="D31" s="41"/>
      <c r="E31" s="41"/>
      <c r="G31" s="8"/>
    </row>
    <row r="32" spans="1:10" x14ac:dyDescent="0.25">
      <c r="A32" s="6"/>
      <c r="C32" s="41"/>
      <c r="D32" s="41"/>
      <c r="E32" s="41"/>
      <c r="G32" s="8"/>
    </row>
    <row r="33" spans="1:7" x14ac:dyDescent="0.25">
      <c r="A33" s="6"/>
      <c r="E33" s="42"/>
      <c r="G33" s="8"/>
    </row>
    <row r="34" spans="1:7" x14ac:dyDescent="0.25">
      <c r="A34" s="6"/>
      <c r="E34" s="43"/>
      <c r="G34" s="8"/>
    </row>
    <row r="35" spans="1:7" x14ac:dyDescent="0.25">
      <c r="A35" s="6"/>
      <c r="G35" s="8"/>
    </row>
    <row r="36" spans="1:7" ht="15.75" thickBot="1" x14ac:dyDescent="0.3">
      <c r="A36" s="44"/>
      <c r="B36" s="45"/>
      <c r="C36" s="45"/>
      <c r="D36" s="45"/>
      <c r="E36" s="45"/>
      <c r="F36" s="45"/>
      <c r="G36" s="46"/>
    </row>
  </sheetData>
  <mergeCells count="10">
    <mergeCell ref="B14:F14"/>
    <mergeCell ref="B17:F17"/>
    <mergeCell ref="B18:D18"/>
    <mergeCell ref="B24:G24"/>
    <mergeCell ref="B3:F3"/>
    <mergeCell ref="B5:F5"/>
    <mergeCell ref="A7:G7"/>
    <mergeCell ref="B9:F9"/>
    <mergeCell ref="E11:F11"/>
    <mergeCell ref="E12:F12"/>
  </mergeCells>
  <pageMargins left="0.7" right="0.7" top="0.75" bottom="0.75" header="0.3" footer="0.3"/>
  <pageSetup scale="6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view="pageBreakPreview" zoomScale="86" zoomScaleNormal="100" zoomScaleSheetLayoutView="86" workbookViewId="0">
      <selection activeCell="B15" sqref="B15"/>
    </sheetView>
  </sheetViews>
  <sheetFormatPr baseColWidth="10" defaultColWidth="11.42578125" defaultRowHeight="15" x14ac:dyDescent="0.25"/>
  <cols>
    <col min="1" max="1" width="2.5703125" style="5" customWidth="1"/>
    <col min="2" max="2" width="10.85546875" style="5" customWidth="1"/>
    <col min="3" max="3" width="9.42578125" style="5" customWidth="1"/>
    <col min="4" max="4" width="30.85546875" style="5" customWidth="1"/>
    <col min="5" max="5" width="57.5703125" style="5" customWidth="1"/>
    <col min="6" max="6" width="17" style="5" bestFit="1" customWidth="1"/>
    <col min="7" max="7" width="4.140625" style="5" customWidth="1"/>
    <col min="8" max="16384" width="11.42578125" style="5"/>
  </cols>
  <sheetData>
    <row r="1" spans="1:7" x14ac:dyDescent="0.25">
      <c r="A1" s="1"/>
      <c r="B1" s="2"/>
      <c r="C1" s="2"/>
      <c r="D1" s="2"/>
      <c r="E1" s="2"/>
      <c r="F1" s="3" t="s">
        <v>0</v>
      </c>
      <c r="G1" s="4"/>
    </row>
    <row r="2" spans="1:7" x14ac:dyDescent="0.25">
      <c r="A2" s="6"/>
      <c r="E2" s="7"/>
      <c r="G2" s="8"/>
    </row>
    <row r="3" spans="1:7" ht="15.75" x14ac:dyDescent="0.25">
      <c r="A3" s="6"/>
      <c r="B3" s="96" t="s">
        <v>1</v>
      </c>
      <c r="C3" s="96"/>
      <c r="D3" s="96"/>
      <c r="E3" s="96"/>
      <c r="F3" s="96"/>
      <c r="G3" s="8"/>
    </row>
    <row r="4" spans="1:7" x14ac:dyDescent="0.25">
      <c r="A4" s="6"/>
      <c r="B4" s="7"/>
      <c r="D4" s="9"/>
      <c r="E4" s="9"/>
      <c r="G4" s="8"/>
    </row>
    <row r="5" spans="1:7" x14ac:dyDescent="0.25">
      <c r="A5" s="6"/>
      <c r="B5" s="97" t="s">
        <v>2</v>
      </c>
      <c r="C5" s="97"/>
      <c r="D5" s="97"/>
      <c r="E5" s="97"/>
      <c r="F5" s="97"/>
      <c r="G5" s="10"/>
    </row>
    <row r="6" spans="1:7" x14ac:dyDescent="0.25">
      <c r="A6" s="6"/>
      <c r="F6" s="11"/>
      <c r="G6" s="12"/>
    </row>
    <row r="7" spans="1:7" x14ac:dyDescent="0.25">
      <c r="A7" s="98" t="s">
        <v>44</v>
      </c>
      <c r="B7" s="99"/>
      <c r="C7" s="99"/>
      <c r="D7" s="99"/>
      <c r="E7" s="99"/>
      <c r="F7" s="99"/>
      <c r="G7" s="100"/>
    </row>
    <row r="8" spans="1:7" ht="15.75" customHeight="1" thickBot="1" x14ac:dyDescent="0.3">
      <c r="A8" s="6"/>
      <c r="G8" s="12"/>
    </row>
    <row r="9" spans="1:7" x14ac:dyDescent="0.25">
      <c r="A9" s="13" t="s">
        <v>4</v>
      </c>
      <c r="B9" s="101" t="s">
        <v>45</v>
      </c>
      <c r="C9" s="101"/>
      <c r="D9" s="101"/>
      <c r="E9" s="101"/>
      <c r="F9" s="101"/>
      <c r="G9" s="14"/>
    </row>
    <row r="10" spans="1:7" x14ac:dyDescent="0.25">
      <c r="A10" s="6"/>
      <c r="G10" s="8"/>
    </row>
    <row r="11" spans="1:7" x14ac:dyDescent="0.25">
      <c r="A11" s="6"/>
      <c r="B11" s="11" t="s">
        <v>46</v>
      </c>
      <c r="E11" s="102" t="s">
        <v>47</v>
      </c>
      <c r="F11" s="102"/>
      <c r="G11" s="8"/>
    </row>
    <row r="12" spans="1:7" x14ac:dyDescent="0.25">
      <c r="A12" s="6"/>
      <c r="B12" s="11" t="s">
        <v>30</v>
      </c>
      <c r="E12" s="102" t="s">
        <v>31</v>
      </c>
      <c r="F12" s="102"/>
      <c r="G12" s="8"/>
    </row>
    <row r="13" spans="1:7" x14ac:dyDescent="0.25">
      <c r="A13" s="6"/>
      <c r="B13" s="11"/>
      <c r="E13" s="15"/>
      <c r="G13" s="8"/>
    </row>
    <row r="14" spans="1:7" x14ac:dyDescent="0.25">
      <c r="A14" s="6"/>
      <c r="B14" s="87" t="s">
        <v>76</v>
      </c>
      <c r="C14" s="87"/>
      <c r="D14" s="87"/>
      <c r="E14" s="87"/>
      <c r="F14" s="87"/>
      <c r="G14" s="8"/>
    </row>
    <row r="15" spans="1:7" s="20" customFormat="1" ht="25.5" x14ac:dyDescent="0.25">
      <c r="A15" s="16"/>
      <c r="B15" s="17" t="s">
        <v>10</v>
      </c>
      <c r="C15" s="18" t="s">
        <v>11</v>
      </c>
      <c r="D15" s="17" t="s">
        <v>12</v>
      </c>
      <c r="E15" s="17" t="s">
        <v>13</v>
      </c>
      <c r="F15" s="17" t="s">
        <v>14</v>
      </c>
      <c r="G15" s="19"/>
    </row>
    <row r="16" spans="1:7" s="20" customFormat="1" ht="38.25" x14ac:dyDescent="0.25">
      <c r="A16" s="16"/>
      <c r="B16" s="49">
        <v>46081</v>
      </c>
      <c r="C16" s="50">
        <v>18</v>
      </c>
      <c r="D16" s="51" t="s">
        <v>48</v>
      </c>
      <c r="E16" s="50" t="s">
        <v>49</v>
      </c>
      <c r="F16" s="52">
        <v>114000</v>
      </c>
      <c r="G16" s="19"/>
    </row>
    <row r="17" spans="1:10" s="20" customFormat="1" ht="38.25" x14ac:dyDescent="0.25">
      <c r="A17" s="16"/>
      <c r="B17" s="49">
        <v>46081</v>
      </c>
      <c r="C17" s="50">
        <v>19</v>
      </c>
      <c r="D17" s="51" t="s">
        <v>50</v>
      </c>
      <c r="E17" s="50" t="s">
        <v>49</v>
      </c>
      <c r="F17" s="52">
        <v>10000</v>
      </c>
      <c r="G17" s="19"/>
    </row>
    <row r="18" spans="1:10" s="28" customFormat="1" x14ac:dyDescent="0.25">
      <c r="A18" s="21"/>
      <c r="B18" s="22"/>
      <c r="C18" s="23"/>
      <c r="D18" s="24"/>
      <c r="E18" s="25"/>
      <c r="F18" s="26"/>
      <c r="G18" s="27"/>
    </row>
    <row r="19" spans="1:10" s="28" customFormat="1" x14ac:dyDescent="0.25">
      <c r="A19" s="21"/>
      <c r="B19" s="88"/>
      <c r="C19" s="89"/>
      <c r="D19" s="89"/>
      <c r="E19" s="89"/>
      <c r="F19" s="90"/>
      <c r="G19" s="27"/>
    </row>
    <row r="20" spans="1:10" x14ac:dyDescent="0.25">
      <c r="A20" s="6"/>
      <c r="B20" s="91"/>
      <c r="C20" s="92"/>
      <c r="D20" s="93"/>
      <c r="E20" s="17" t="s">
        <v>15</v>
      </c>
      <c r="F20" s="53">
        <f>SUM(F16:F18)</f>
        <v>124000</v>
      </c>
      <c r="G20" s="8"/>
    </row>
    <row r="21" spans="1:10" x14ac:dyDescent="0.25">
      <c r="A21" s="6"/>
      <c r="G21" s="8"/>
    </row>
    <row r="22" spans="1:10" s="33" customFormat="1" x14ac:dyDescent="0.25">
      <c r="A22" s="30"/>
      <c r="B22" s="31"/>
      <c r="C22" s="31"/>
      <c r="D22" s="31"/>
      <c r="E22" s="31"/>
      <c r="F22" s="31"/>
      <c r="G22" s="32"/>
      <c r="J22" s="34"/>
    </row>
    <row r="23" spans="1:10" s="33" customFormat="1" x14ac:dyDescent="0.25">
      <c r="A23" s="30"/>
      <c r="B23" s="31"/>
      <c r="C23" s="5"/>
      <c r="D23" s="35"/>
      <c r="E23" s="31"/>
      <c r="F23" s="5"/>
      <c r="G23" s="32"/>
      <c r="J23" s="34"/>
    </row>
    <row r="24" spans="1:10" s="33" customFormat="1" x14ac:dyDescent="0.25">
      <c r="A24" s="30"/>
      <c r="B24" s="31"/>
      <c r="C24" s="5"/>
      <c r="D24" s="36"/>
      <c r="E24" s="36"/>
      <c r="F24" s="37"/>
      <c r="G24" s="32"/>
      <c r="J24" s="34"/>
    </row>
    <row r="25" spans="1:10" s="33" customFormat="1" x14ac:dyDescent="0.25">
      <c r="A25" s="30"/>
      <c r="B25" s="31"/>
      <c r="C25" s="47"/>
      <c r="D25" s="36"/>
      <c r="E25" s="36"/>
      <c r="F25" s="37"/>
      <c r="G25" s="32"/>
      <c r="J25" s="34"/>
    </row>
    <row r="26" spans="1:10" s="33" customFormat="1" x14ac:dyDescent="0.25">
      <c r="A26" s="30"/>
      <c r="B26" s="94"/>
      <c r="C26" s="94"/>
      <c r="D26" s="94"/>
      <c r="E26" s="94"/>
      <c r="F26" s="94"/>
      <c r="G26" s="95"/>
      <c r="J26" s="34"/>
    </row>
    <row r="27" spans="1:10" s="33" customFormat="1" x14ac:dyDescent="0.25">
      <c r="A27" s="30"/>
      <c r="B27" s="36"/>
      <c r="C27" s="36"/>
      <c r="D27" s="36"/>
      <c r="E27" s="36"/>
      <c r="F27" s="36"/>
      <c r="G27" s="38"/>
      <c r="J27" s="34"/>
    </row>
    <row r="28" spans="1:10" s="33" customFormat="1" x14ac:dyDescent="0.25">
      <c r="A28" s="30"/>
      <c r="B28" s="31"/>
      <c r="C28" s="37"/>
      <c r="D28" s="36"/>
      <c r="E28" s="36"/>
      <c r="F28" s="37"/>
      <c r="G28" s="32"/>
      <c r="J28" s="34"/>
    </row>
    <row r="29" spans="1:10" s="34" customFormat="1" x14ac:dyDescent="0.25">
      <c r="A29" s="39"/>
      <c r="B29" s="31"/>
      <c r="C29" s="37"/>
      <c r="D29" s="36"/>
      <c r="E29" s="36"/>
      <c r="F29" s="37"/>
      <c r="G29" s="32"/>
      <c r="H29" s="33"/>
      <c r="I29" s="33"/>
    </row>
    <row r="30" spans="1:10" s="34" customFormat="1" x14ac:dyDescent="0.25">
      <c r="A30" s="39"/>
      <c r="B30" s="31"/>
      <c r="C30" s="37"/>
      <c r="D30" s="36"/>
      <c r="E30" s="36"/>
      <c r="F30" s="37"/>
      <c r="G30" s="32"/>
      <c r="H30" s="33"/>
      <c r="I30" s="33"/>
    </row>
    <row r="31" spans="1:10" s="34" customFormat="1" ht="14.25" x14ac:dyDescent="0.25">
      <c r="A31" s="39"/>
      <c r="B31" s="35"/>
      <c r="C31" s="35"/>
      <c r="D31" s="35"/>
      <c r="E31" s="35"/>
      <c r="F31" s="35"/>
      <c r="G31" s="40"/>
      <c r="H31" s="33"/>
      <c r="I31" s="33"/>
    </row>
    <row r="32" spans="1:10" x14ac:dyDescent="0.25">
      <c r="A32" s="6"/>
      <c r="C32" s="41"/>
      <c r="D32" s="41"/>
      <c r="E32" s="41"/>
      <c r="G32" s="8"/>
    </row>
    <row r="33" spans="1:7" x14ac:dyDescent="0.25">
      <c r="A33" s="6"/>
      <c r="C33" s="41"/>
      <c r="D33" s="41"/>
      <c r="E33" s="41"/>
      <c r="G33" s="8"/>
    </row>
    <row r="34" spans="1:7" x14ac:dyDescent="0.25">
      <c r="A34" s="6"/>
      <c r="C34" s="41"/>
      <c r="D34" s="41"/>
      <c r="E34" s="41"/>
      <c r="G34" s="8"/>
    </row>
    <row r="35" spans="1:7" x14ac:dyDescent="0.25">
      <c r="A35" s="6"/>
      <c r="E35" s="42"/>
      <c r="G35" s="8"/>
    </row>
    <row r="36" spans="1:7" x14ac:dyDescent="0.25">
      <c r="A36" s="6"/>
      <c r="E36" s="43"/>
      <c r="G36" s="8"/>
    </row>
    <row r="37" spans="1:7" x14ac:dyDescent="0.25">
      <c r="A37" s="6"/>
      <c r="G37" s="8"/>
    </row>
    <row r="38" spans="1:7" ht="15.75" thickBot="1" x14ac:dyDescent="0.3">
      <c r="A38" s="44"/>
      <c r="B38" s="45"/>
      <c r="C38" s="45"/>
      <c r="D38" s="45"/>
      <c r="E38" s="45"/>
      <c r="F38" s="45"/>
      <c r="G38" s="46"/>
    </row>
  </sheetData>
  <mergeCells count="10">
    <mergeCell ref="B26:G26"/>
    <mergeCell ref="B14:F14"/>
    <mergeCell ref="B3:F3"/>
    <mergeCell ref="B5:F5"/>
    <mergeCell ref="A7:G7"/>
    <mergeCell ref="B9:F9"/>
    <mergeCell ref="E11:F11"/>
    <mergeCell ref="E12:F12"/>
    <mergeCell ref="B19:F19"/>
    <mergeCell ref="B20:D20"/>
  </mergeCells>
  <pageMargins left="0.7" right="0.7" top="0.75" bottom="0.75" header="0.3" footer="0.3"/>
  <pageSetup scale="6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view="pageBreakPreview" zoomScale="96" zoomScaleNormal="100" zoomScaleSheetLayoutView="96" workbookViewId="0">
      <selection activeCell="B15" sqref="B15"/>
    </sheetView>
  </sheetViews>
  <sheetFormatPr baseColWidth="10" defaultColWidth="11.42578125" defaultRowHeight="15" x14ac:dyDescent="0.25"/>
  <cols>
    <col min="1" max="1" width="2.5703125" style="5" customWidth="1"/>
    <col min="2" max="2" width="10.85546875" style="5" customWidth="1"/>
    <col min="3" max="3" width="9.42578125" style="5" customWidth="1"/>
    <col min="4" max="4" width="30.85546875" style="5" customWidth="1"/>
    <col min="5" max="5" width="57.5703125" style="5" customWidth="1"/>
    <col min="6" max="6" width="17" style="5" bestFit="1" customWidth="1"/>
    <col min="7" max="7" width="4.140625" style="5" customWidth="1"/>
    <col min="8" max="16384" width="11.42578125" style="5"/>
  </cols>
  <sheetData>
    <row r="1" spans="1:7" x14ac:dyDescent="0.25">
      <c r="A1" s="1"/>
      <c r="B1" s="2"/>
      <c r="C1" s="2"/>
      <c r="D1" s="2"/>
      <c r="E1" s="2"/>
      <c r="F1" s="3" t="s">
        <v>0</v>
      </c>
      <c r="G1" s="4"/>
    </row>
    <row r="2" spans="1:7" x14ac:dyDescent="0.25">
      <c r="A2" s="6"/>
      <c r="E2" s="7"/>
      <c r="G2" s="8"/>
    </row>
    <row r="3" spans="1:7" ht="15.75" x14ac:dyDescent="0.25">
      <c r="A3" s="6"/>
      <c r="B3" s="96" t="s">
        <v>1</v>
      </c>
      <c r="C3" s="96"/>
      <c r="D3" s="96"/>
      <c r="E3" s="96"/>
      <c r="F3" s="96"/>
      <c r="G3" s="8"/>
    </row>
    <row r="4" spans="1:7" x14ac:dyDescent="0.25">
      <c r="A4" s="6"/>
      <c r="B4" s="7"/>
      <c r="D4" s="9"/>
      <c r="E4" s="9"/>
      <c r="G4" s="8"/>
    </row>
    <row r="5" spans="1:7" x14ac:dyDescent="0.25">
      <c r="A5" s="6"/>
      <c r="B5" s="97" t="s">
        <v>2</v>
      </c>
      <c r="C5" s="97"/>
      <c r="D5" s="97"/>
      <c r="E5" s="97"/>
      <c r="F5" s="97"/>
      <c r="G5" s="10"/>
    </row>
    <row r="6" spans="1:7" ht="12.6" customHeight="1" x14ac:dyDescent="0.25">
      <c r="A6" s="6"/>
      <c r="F6" s="11"/>
      <c r="G6" s="12"/>
    </row>
    <row r="7" spans="1:7" x14ac:dyDescent="0.25">
      <c r="A7" s="98" t="s">
        <v>26</v>
      </c>
      <c r="B7" s="99"/>
      <c r="C7" s="99"/>
      <c r="D7" s="99"/>
      <c r="E7" s="99"/>
      <c r="F7" s="99"/>
      <c r="G7" s="100"/>
    </row>
    <row r="8" spans="1:7" ht="15.75" customHeight="1" thickBot="1" x14ac:dyDescent="0.3">
      <c r="A8" s="6"/>
      <c r="G8" s="12"/>
    </row>
    <row r="9" spans="1:7" x14ac:dyDescent="0.25">
      <c r="A9" s="13" t="s">
        <v>4</v>
      </c>
      <c r="B9" s="101" t="s">
        <v>27</v>
      </c>
      <c r="C9" s="101"/>
      <c r="D9" s="101"/>
      <c r="E9" s="101"/>
      <c r="F9" s="101"/>
      <c r="G9" s="14"/>
    </row>
    <row r="10" spans="1:7" x14ac:dyDescent="0.25">
      <c r="A10" s="6"/>
      <c r="G10" s="8"/>
    </row>
    <row r="11" spans="1:7" ht="20.25" customHeight="1" x14ac:dyDescent="0.25">
      <c r="A11" s="6"/>
      <c r="B11" s="11" t="s">
        <v>28</v>
      </c>
      <c r="E11" s="102" t="s">
        <v>29</v>
      </c>
      <c r="F11" s="102"/>
      <c r="G11" s="8"/>
    </row>
    <row r="12" spans="1:7" ht="20.25" customHeight="1" x14ac:dyDescent="0.25">
      <c r="A12" s="6"/>
      <c r="B12" s="11" t="s">
        <v>30</v>
      </c>
      <c r="E12" s="102" t="s">
        <v>31</v>
      </c>
      <c r="F12" s="102"/>
      <c r="G12" s="8"/>
    </row>
    <row r="13" spans="1:7" ht="1.5" customHeight="1" x14ac:dyDescent="0.25">
      <c r="A13" s="6"/>
      <c r="B13" s="11"/>
      <c r="E13" s="15"/>
      <c r="G13" s="8"/>
    </row>
    <row r="14" spans="1:7" ht="20.25" customHeight="1" x14ac:dyDescent="0.25">
      <c r="A14" s="6"/>
      <c r="B14" s="87" t="s">
        <v>76</v>
      </c>
      <c r="C14" s="87"/>
      <c r="D14" s="87"/>
      <c r="E14" s="87"/>
      <c r="F14" s="87"/>
      <c r="G14" s="8"/>
    </row>
    <row r="15" spans="1:7" s="20" customFormat="1" ht="25.5" x14ac:dyDescent="0.25">
      <c r="A15" s="16"/>
      <c r="B15" s="17" t="s">
        <v>10</v>
      </c>
      <c r="C15" s="18" t="s">
        <v>11</v>
      </c>
      <c r="D15" s="17" t="s">
        <v>12</v>
      </c>
      <c r="E15" s="17" t="s">
        <v>13</v>
      </c>
      <c r="F15" s="17" t="s">
        <v>14</v>
      </c>
      <c r="G15" s="19"/>
    </row>
    <row r="16" spans="1:7" s="28" customFormat="1" ht="77.45" customHeight="1" x14ac:dyDescent="0.25">
      <c r="A16" s="21"/>
      <c r="B16" s="22"/>
      <c r="C16" s="23"/>
      <c r="D16" s="24"/>
      <c r="E16" s="25"/>
      <c r="F16" s="26"/>
      <c r="G16" s="27"/>
    </row>
    <row r="17" spans="1:10" s="28" customFormat="1" ht="6" customHeight="1" x14ac:dyDescent="0.25">
      <c r="A17" s="21"/>
      <c r="B17" s="88"/>
      <c r="C17" s="89"/>
      <c r="D17" s="89"/>
      <c r="E17" s="89"/>
      <c r="F17" s="90"/>
      <c r="G17" s="27"/>
    </row>
    <row r="18" spans="1:10" ht="20.25" customHeight="1" x14ac:dyDescent="0.25">
      <c r="A18" s="6"/>
      <c r="B18" s="91"/>
      <c r="C18" s="92"/>
      <c r="D18" s="93"/>
      <c r="E18" s="17" t="s">
        <v>15</v>
      </c>
      <c r="F18" s="29">
        <f>SUM(F16:F16)</f>
        <v>0</v>
      </c>
      <c r="G18" s="8"/>
    </row>
    <row r="19" spans="1:10" x14ac:dyDescent="0.25">
      <c r="A19" s="6"/>
      <c r="G19" s="8"/>
    </row>
    <row r="20" spans="1:10" s="33" customFormat="1" x14ac:dyDescent="0.25">
      <c r="A20" s="30"/>
      <c r="B20" s="31"/>
      <c r="C20" s="31"/>
      <c r="D20" s="31"/>
      <c r="E20" s="31"/>
      <c r="F20" s="31"/>
      <c r="G20" s="32"/>
      <c r="J20" s="34"/>
    </row>
    <row r="21" spans="1:10" s="33" customFormat="1" x14ac:dyDescent="0.25">
      <c r="A21" s="30"/>
      <c r="B21" s="31"/>
      <c r="C21" s="5"/>
      <c r="D21" s="35"/>
      <c r="E21" s="31"/>
      <c r="F21" s="5"/>
      <c r="G21" s="32"/>
      <c r="J21" s="34"/>
    </row>
    <row r="22" spans="1:10" s="33" customFormat="1" x14ac:dyDescent="0.25">
      <c r="A22" s="30"/>
      <c r="B22" s="31"/>
      <c r="C22" s="5"/>
      <c r="D22" s="36"/>
      <c r="E22" s="36"/>
      <c r="F22" s="37"/>
      <c r="G22" s="32"/>
      <c r="J22" s="34"/>
    </row>
    <row r="23" spans="1:10" s="33" customFormat="1" x14ac:dyDescent="0.25">
      <c r="A23" s="30"/>
      <c r="B23" s="31"/>
      <c r="C23" s="5"/>
      <c r="D23" s="36"/>
      <c r="E23" s="36"/>
      <c r="F23" s="37"/>
      <c r="G23" s="32"/>
      <c r="J23" s="34"/>
    </row>
    <row r="24" spans="1:10" s="33" customFormat="1" x14ac:dyDescent="0.25">
      <c r="A24" s="30"/>
      <c r="B24" s="94"/>
      <c r="C24" s="94"/>
      <c r="D24" s="94"/>
      <c r="E24" s="94"/>
      <c r="F24" s="94"/>
      <c r="G24" s="95"/>
      <c r="J24" s="34"/>
    </row>
    <row r="25" spans="1:10" s="33" customFormat="1" x14ac:dyDescent="0.25">
      <c r="A25" s="30"/>
      <c r="B25" s="36"/>
      <c r="C25" s="36"/>
      <c r="D25" s="36"/>
      <c r="E25" s="36"/>
      <c r="F25" s="36"/>
      <c r="G25" s="38"/>
      <c r="J25" s="34"/>
    </row>
    <row r="26" spans="1:10" s="33" customFormat="1" ht="28.5" customHeight="1" x14ac:dyDescent="0.25">
      <c r="A26" s="30"/>
      <c r="B26" s="31"/>
      <c r="C26" s="37"/>
      <c r="D26" s="36"/>
      <c r="E26" s="36"/>
      <c r="F26" s="37"/>
      <c r="G26" s="32"/>
      <c r="J26" s="34"/>
    </row>
    <row r="27" spans="1:10" s="34" customFormat="1" x14ac:dyDescent="0.25">
      <c r="A27" s="39"/>
      <c r="B27" s="31"/>
      <c r="C27" s="37"/>
      <c r="D27" s="36"/>
      <c r="E27" s="36"/>
      <c r="F27" s="37"/>
      <c r="G27" s="32"/>
      <c r="H27" s="33"/>
      <c r="I27" s="33"/>
    </row>
    <row r="28" spans="1:10" s="34" customFormat="1" x14ac:dyDescent="0.25">
      <c r="A28" s="39"/>
      <c r="B28" s="31"/>
      <c r="C28" s="37"/>
      <c r="D28" s="36"/>
      <c r="E28" s="36"/>
      <c r="F28" s="37"/>
      <c r="G28" s="32"/>
      <c r="H28" s="33"/>
      <c r="I28" s="33"/>
    </row>
    <row r="29" spans="1:10" s="34" customFormat="1" ht="14.25" x14ac:dyDescent="0.25">
      <c r="A29" s="39"/>
      <c r="B29" s="35"/>
      <c r="C29" s="35"/>
      <c r="D29" s="35"/>
      <c r="E29" s="35"/>
      <c r="F29" s="35"/>
      <c r="G29" s="40"/>
      <c r="H29" s="33"/>
      <c r="I29" s="33"/>
    </row>
    <row r="30" spans="1:10" x14ac:dyDescent="0.25">
      <c r="A30" s="6"/>
      <c r="C30" s="41"/>
      <c r="D30" s="41"/>
      <c r="E30" s="41"/>
      <c r="G30" s="8"/>
    </row>
    <row r="31" spans="1:10" x14ac:dyDescent="0.25">
      <c r="A31" s="6"/>
      <c r="C31" s="41"/>
      <c r="D31" s="41"/>
      <c r="E31" s="41"/>
      <c r="G31" s="8"/>
    </row>
    <row r="32" spans="1:10" x14ac:dyDescent="0.25">
      <c r="A32" s="6"/>
      <c r="C32" s="41"/>
      <c r="D32" s="41"/>
      <c r="E32" s="41"/>
      <c r="G32" s="8"/>
    </row>
    <row r="33" spans="1:7" x14ac:dyDescent="0.25">
      <c r="A33" s="6"/>
      <c r="E33" s="42"/>
      <c r="G33" s="8"/>
    </row>
    <row r="34" spans="1:7" x14ac:dyDescent="0.25">
      <c r="A34" s="6"/>
      <c r="E34" s="43"/>
      <c r="G34" s="8"/>
    </row>
    <row r="35" spans="1:7" x14ac:dyDescent="0.25">
      <c r="A35" s="6"/>
      <c r="G35" s="8"/>
    </row>
    <row r="36" spans="1:7" ht="15.75" thickBot="1" x14ac:dyDescent="0.3">
      <c r="A36" s="44"/>
      <c r="B36" s="45"/>
      <c r="C36" s="45"/>
      <c r="D36" s="45"/>
      <c r="E36" s="45"/>
      <c r="F36" s="45"/>
      <c r="G36" s="46"/>
    </row>
  </sheetData>
  <mergeCells count="10">
    <mergeCell ref="B14:F14"/>
    <mergeCell ref="B17:F17"/>
    <mergeCell ref="B18:D18"/>
    <mergeCell ref="B24:G24"/>
    <mergeCell ref="B3:F3"/>
    <mergeCell ref="B5:F5"/>
    <mergeCell ref="A7:G7"/>
    <mergeCell ref="B9:F9"/>
    <mergeCell ref="E11:F11"/>
    <mergeCell ref="E12:F12"/>
  </mergeCells>
  <pageMargins left="0.7" right="0.7" top="0.75" bottom="0.75" header="0.3" footer="0.3"/>
  <pageSetup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view="pageBreakPreview" topLeftCell="A5" zoomScale="80" zoomScaleNormal="100" zoomScaleSheetLayoutView="80" workbookViewId="0">
      <selection activeCell="I18" sqref="I18"/>
    </sheetView>
  </sheetViews>
  <sheetFormatPr baseColWidth="10" defaultRowHeight="15" x14ac:dyDescent="0.25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18" customWidth="1"/>
    <col min="6" max="6" width="4.140625" customWidth="1"/>
  </cols>
  <sheetData>
    <row r="1" spans="1:6" x14ac:dyDescent="0.25">
      <c r="A1" s="55"/>
      <c r="B1" s="56"/>
      <c r="C1" s="56"/>
      <c r="D1" s="56"/>
      <c r="E1" s="57" t="s">
        <v>0</v>
      </c>
      <c r="F1" s="58"/>
    </row>
    <row r="2" spans="1:6" x14ac:dyDescent="0.25">
      <c r="A2" s="59"/>
      <c r="D2" s="60"/>
      <c r="F2" s="61"/>
    </row>
    <row r="3" spans="1:6" ht="15.75" x14ac:dyDescent="0.25">
      <c r="A3" s="59"/>
      <c r="B3" s="105" t="s">
        <v>1</v>
      </c>
      <c r="C3" s="105"/>
      <c r="D3" s="105"/>
      <c r="E3" s="105"/>
      <c r="F3" s="61"/>
    </row>
    <row r="4" spans="1:6" x14ac:dyDescent="0.25">
      <c r="A4" s="59"/>
      <c r="B4" s="60"/>
      <c r="D4" s="62"/>
      <c r="F4" s="61"/>
    </row>
    <row r="5" spans="1:6" x14ac:dyDescent="0.25">
      <c r="A5" s="59"/>
      <c r="B5" s="106" t="s">
        <v>51</v>
      </c>
      <c r="C5" s="106"/>
      <c r="D5" s="106"/>
      <c r="E5" s="106"/>
      <c r="F5" s="63"/>
    </row>
    <row r="6" spans="1:6" x14ac:dyDescent="0.25">
      <c r="A6" s="59"/>
      <c r="E6" s="64"/>
      <c r="F6" s="65"/>
    </row>
    <row r="7" spans="1:6" x14ac:dyDescent="0.25">
      <c r="A7" s="107" t="s">
        <v>16</v>
      </c>
      <c r="B7" s="108"/>
      <c r="C7" s="108"/>
      <c r="D7" s="108"/>
      <c r="E7" s="108"/>
      <c r="F7" s="109"/>
    </row>
    <row r="8" spans="1:6" x14ac:dyDescent="0.25">
      <c r="A8" s="59"/>
      <c r="F8" s="65"/>
    </row>
    <row r="9" spans="1:6" x14ac:dyDescent="0.25">
      <c r="A9" s="59"/>
      <c r="F9" s="65"/>
    </row>
    <row r="10" spans="1:6" x14ac:dyDescent="0.25">
      <c r="A10" s="110" t="s">
        <v>17</v>
      </c>
      <c r="B10" s="111"/>
      <c r="C10" s="111"/>
      <c r="D10" s="111"/>
      <c r="E10" s="111"/>
      <c r="F10" s="112"/>
    </row>
    <row r="11" spans="1:6" ht="22.5" customHeight="1" x14ac:dyDescent="0.25">
      <c r="A11" s="59"/>
      <c r="F11" s="61"/>
    </row>
    <row r="12" spans="1:6" x14ac:dyDescent="0.25">
      <c r="A12" s="59"/>
      <c r="B12" s="64" t="s">
        <v>52</v>
      </c>
      <c r="D12" s="113" t="s">
        <v>53</v>
      </c>
      <c r="E12" s="113"/>
      <c r="F12" s="61"/>
    </row>
    <row r="13" spans="1:6" x14ac:dyDescent="0.25">
      <c r="A13" s="59"/>
      <c r="B13" s="66" t="s">
        <v>8</v>
      </c>
      <c r="D13" s="113" t="s">
        <v>54</v>
      </c>
      <c r="E13" s="113"/>
      <c r="F13" s="61"/>
    </row>
    <row r="14" spans="1:6" x14ac:dyDescent="0.25">
      <c r="A14" s="59"/>
      <c r="B14" s="64"/>
      <c r="D14" s="67"/>
      <c r="F14" s="61"/>
    </row>
    <row r="15" spans="1:6" x14ac:dyDescent="0.25">
      <c r="A15" s="59"/>
      <c r="B15" s="103" t="str">
        <f>+[1]INGRESOS!B14:F14</f>
        <v>AL MES DE : MARZO DE 2026</v>
      </c>
      <c r="C15" s="103"/>
      <c r="D15" s="103"/>
      <c r="E15" s="103"/>
      <c r="F15" s="65"/>
    </row>
    <row r="16" spans="1:6" x14ac:dyDescent="0.25">
      <c r="A16" s="59"/>
      <c r="B16" s="68"/>
      <c r="C16" s="68"/>
      <c r="D16" s="68"/>
      <c r="E16" s="68"/>
      <c r="F16" s="61"/>
    </row>
    <row r="17" spans="1:9" s="71" customFormat="1" ht="28.5" customHeight="1" x14ac:dyDescent="0.25">
      <c r="A17" s="69"/>
      <c r="B17" s="17" t="s">
        <v>10</v>
      </c>
      <c r="C17" s="18" t="s">
        <v>55</v>
      </c>
      <c r="D17" s="17" t="s">
        <v>13</v>
      </c>
      <c r="E17" s="17" t="s">
        <v>14</v>
      </c>
      <c r="F17" s="70"/>
    </row>
    <row r="18" spans="1:9" ht="34.5" customHeight="1" x14ac:dyDescent="0.25">
      <c r="A18" s="59"/>
      <c r="B18" s="72"/>
      <c r="C18" s="51"/>
      <c r="D18" s="24"/>
      <c r="E18" s="73"/>
      <c r="F18" s="61"/>
    </row>
    <row r="19" spans="1:9" ht="34.5" customHeight="1" x14ac:dyDescent="0.25">
      <c r="A19" s="59"/>
      <c r="B19" s="72"/>
      <c r="C19" s="51"/>
      <c r="D19" s="24"/>
      <c r="E19" s="73"/>
      <c r="F19" s="61"/>
    </row>
    <row r="20" spans="1:9" ht="34.5" customHeight="1" x14ac:dyDescent="0.25">
      <c r="A20" s="59"/>
      <c r="B20" s="72"/>
      <c r="C20" s="51"/>
      <c r="D20" s="24"/>
      <c r="E20" s="73"/>
      <c r="F20" s="61"/>
    </row>
    <row r="21" spans="1:9" ht="18" customHeight="1" x14ac:dyDescent="0.25">
      <c r="A21" s="59"/>
      <c r="B21" s="104"/>
      <c r="C21" s="104"/>
      <c r="D21" s="17" t="s">
        <v>15</v>
      </c>
      <c r="E21" s="29">
        <f>SUM(E18:E20)</f>
        <v>0</v>
      </c>
      <c r="F21" s="61"/>
    </row>
    <row r="22" spans="1:9" x14ac:dyDescent="0.25">
      <c r="A22" s="59"/>
      <c r="F22" s="61"/>
    </row>
    <row r="23" spans="1:9" s="75" customFormat="1" x14ac:dyDescent="0.2">
      <c r="A23" s="74"/>
      <c r="B23" s="31"/>
      <c r="C23" s="5"/>
      <c r="D23" s="35"/>
      <c r="E23" s="31"/>
      <c r="F23" s="8"/>
      <c r="G23" s="32"/>
      <c r="I23" s="76"/>
    </row>
    <row r="24" spans="1:9" s="75" customFormat="1" x14ac:dyDescent="0.2">
      <c r="A24" s="74"/>
      <c r="B24" s="31"/>
      <c r="C24" s="5"/>
      <c r="D24" s="36"/>
      <c r="E24" s="36"/>
      <c r="F24" s="77"/>
      <c r="G24" s="32"/>
      <c r="I24" s="76"/>
    </row>
    <row r="25" spans="1:9" s="75" customFormat="1" x14ac:dyDescent="0.2">
      <c r="A25" s="74"/>
      <c r="B25" s="31"/>
      <c r="C25" s="5"/>
      <c r="D25" s="36"/>
      <c r="E25" s="36"/>
      <c r="F25" s="77"/>
      <c r="G25" s="32"/>
      <c r="I25" s="76"/>
    </row>
    <row r="26" spans="1:9" s="75" customFormat="1" x14ac:dyDescent="0.2">
      <c r="A26" s="74"/>
      <c r="B26" s="31"/>
      <c r="C26" s="31"/>
      <c r="D26" s="31"/>
      <c r="E26" s="31"/>
      <c r="F26" s="32"/>
      <c r="G26" s="32"/>
      <c r="I26" s="76"/>
    </row>
    <row r="27" spans="1:9" s="75" customFormat="1" x14ac:dyDescent="0.2">
      <c r="A27" s="74"/>
      <c r="B27" s="36"/>
      <c r="C27" s="36"/>
      <c r="D27" s="36"/>
      <c r="E27" s="36"/>
      <c r="F27" s="38"/>
      <c r="G27" s="38"/>
      <c r="I27" s="76"/>
    </row>
    <row r="28" spans="1:9" s="75" customFormat="1" x14ac:dyDescent="0.2">
      <c r="A28" s="74"/>
      <c r="B28" s="31"/>
      <c r="C28" s="37"/>
      <c r="D28" s="36"/>
      <c r="E28" s="36"/>
      <c r="F28" s="77"/>
      <c r="G28" s="32"/>
      <c r="I28" s="76"/>
    </row>
    <row r="29" spans="1:9" s="75" customFormat="1" ht="28.5" customHeight="1" x14ac:dyDescent="0.2">
      <c r="A29" s="74"/>
      <c r="B29" s="31"/>
      <c r="C29" s="37"/>
      <c r="D29" s="36"/>
      <c r="E29" s="36"/>
      <c r="F29" s="77"/>
      <c r="G29" s="32"/>
      <c r="I29" s="76"/>
    </row>
    <row r="30" spans="1:9" s="76" customFormat="1" x14ac:dyDescent="0.2">
      <c r="A30" s="78"/>
      <c r="B30" s="31"/>
      <c r="C30" s="37"/>
      <c r="D30" s="36"/>
      <c r="E30" s="36"/>
      <c r="F30" s="77"/>
      <c r="G30" s="32"/>
      <c r="H30" s="75"/>
    </row>
    <row r="31" spans="1:9" s="76" customFormat="1" ht="14.25" x14ac:dyDescent="0.2">
      <c r="A31" s="78"/>
      <c r="B31" s="35"/>
      <c r="C31" s="35"/>
      <c r="D31" s="35"/>
      <c r="E31" s="35"/>
      <c r="F31" s="40"/>
      <c r="G31" s="40"/>
      <c r="H31" s="75"/>
    </row>
    <row r="32" spans="1:9" s="76" customFormat="1" x14ac:dyDescent="0.2">
      <c r="A32" s="78"/>
      <c r="B32" s="5"/>
      <c r="C32" s="41"/>
      <c r="D32" s="41"/>
      <c r="E32" s="41"/>
      <c r="F32" s="8"/>
      <c r="G32" s="8"/>
      <c r="H32" s="75"/>
    </row>
    <row r="33" spans="1:8" s="76" customFormat="1" x14ac:dyDescent="0.2">
      <c r="A33" s="78"/>
      <c r="B33" s="5"/>
      <c r="C33" s="41"/>
      <c r="D33" s="41"/>
      <c r="E33" s="41"/>
      <c r="F33" s="8"/>
      <c r="G33" s="8"/>
      <c r="H33" s="75"/>
    </row>
    <row r="34" spans="1:8" x14ac:dyDescent="0.25">
      <c r="A34" s="59"/>
      <c r="B34" s="5"/>
      <c r="C34" s="41"/>
      <c r="D34" s="41"/>
      <c r="E34" s="41"/>
      <c r="F34" s="8"/>
      <c r="G34" s="8"/>
    </row>
    <row r="35" spans="1:8" x14ac:dyDescent="0.25">
      <c r="A35" s="59"/>
      <c r="B35" s="5"/>
      <c r="C35" s="5"/>
      <c r="D35" s="5"/>
      <c r="E35" s="42"/>
      <c r="F35" s="8"/>
      <c r="G35" s="8"/>
    </row>
    <row r="36" spans="1:8" x14ac:dyDescent="0.25">
      <c r="A36" s="59"/>
      <c r="C36" s="79"/>
      <c r="D36" s="79"/>
      <c r="F36" s="61"/>
    </row>
    <row r="37" spans="1:8" x14ac:dyDescent="0.25">
      <c r="A37" s="59"/>
      <c r="C37" s="79"/>
      <c r="D37" s="79"/>
      <c r="F37" s="61"/>
    </row>
    <row r="38" spans="1:8" x14ac:dyDescent="0.25">
      <c r="A38" s="59"/>
      <c r="D38" s="80"/>
      <c r="F38" s="61"/>
    </row>
    <row r="39" spans="1:8" ht="15.75" thickBot="1" x14ac:dyDescent="0.3">
      <c r="A39" s="81"/>
      <c r="B39" s="82"/>
      <c r="C39" s="82"/>
      <c r="D39" s="83"/>
      <c r="E39" s="82"/>
      <c r="F39" s="84"/>
    </row>
  </sheetData>
  <mergeCells count="8">
    <mergeCell ref="B15:E15"/>
    <mergeCell ref="B21:C21"/>
    <mergeCell ref="B3:E3"/>
    <mergeCell ref="B5:E5"/>
    <mergeCell ref="A7:F7"/>
    <mergeCell ref="A10:F10"/>
    <mergeCell ref="D12:E12"/>
    <mergeCell ref="D13:E13"/>
  </mergeCells>
  <pageMargins left="0.7" right="0.7" top="0.75" bottom="0.75" header="0.3" footer="0.3"/>
  <pageSetup scale="6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view="pageBreakPreview" zoomScale="85" zoomScaleNormal="100" zoomScaleSheetLayoutView="85" workbookViewId="0">
      <selection activeCell="G17" sqref="G17"/>
    </sheetView>
  </sheetViews>
  <sheetFormatPr baseColWidth="10" defaultRowHeight="15" x14ac:dyDescent="0.25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18" customWidth="1"/>
    <col min="6" max="6" width="4.140625" customWidth="1"/>
  </cols>
  <sheetData>
    <row r="1" spans="1:6" x14ac:dyDescent="0.25">
      <c r="A1" s="55"/>
      <c r="B1" s="56"/>
      <c r="C1" s="56"/>
      <c r="D1" s="56"/>
      <c r="E1" s="57" t="s">
        <v>0</v>
      </c>
      <c r="F1" s="58"/>
    </row>
    <row r="2" spans="1:6" x14ac:dyDescent="0.25">
      <c r="A2" s="59"/>
      <c r="D2" s="60"/>
      <c r="F2" s="61"/>
    </row>
    <row r="3" spans="1:6" ht="15.75" x14ac:dyDescent="0.25">
      <c r="A3" s="59"/>
      <c r="B3" s="105" t="s">
        <v>1</v>
      </c>
      <c r="C3" s="105"/>
      <c r="D3" s="105"/>
      <c r="E3" s="105"/>
      <c r="F3" s="61"/>
    </row>
    <row r="4" spans="1:6" x14ac:dyDescent="0.25">
      <c r="A4" s="59"/>
      <c r="B4" s="60"/>
      <c r="D4" s="62"/>
      <c r="F4" s="61"/>
    </row>
    <row r="5" spans="1:6" x14ac:dyDescent="0.25">
      <c r="A5" s="59"/>
      <c r="B5" s="106" t="s">
        <v>51</v>
      </c>
      <c r="C5" s="106"/>
      <c r="D5" s="106"/>
      <c r="E5" s="106"/>
      <c r="F5" s="63"/>
    </row>
    <row r="6" spans="1:6" x14ac:dyDescent="0.25">
      <c r="A6" s="59"/>
      <c r="E6" s="64"/>
      <c r="F6" s="65"/>
    </row>
    <row r="7" spans="1:6" x14ac:dyDescent="0.25">
      <c r="A7" s="107" t="s">
        <v>40</v>
      </c>
      <c r="B7" s="108"/>
      <c r="C7" s="108"/>
      <c r="D7" s="108"/>
      <c r="E7" s="108"/>
      <c r="F7" s="109"/>
    </row>
    <row r="8" spans="1:6" x14ac:dyDescent="0.25">
      <c r="A8" s="59"/>
      <c r="F8" s="65"/>
    </row>
    <row r="9" spans="1:6" x14ac:dyDescent="0.25">
      <c r="A9" s="59"/>
      <c r="F9" s="65"/>
    </row>
    <row r="10" spans="1:6" x14ac:dyDescent="0.25">
      <c r="A10" s="110" t="s">
        <v>41</v>
      </c>
      <c r="B10" s="111"/>
      <c r="C10" s="111"/>
      <c r="D10" s="111"/>
      <c r="E10" s="111"/>
      <c r="F10" s="112"/>
    </row>
    <row r="11" spans="1:6" ht="22.5" customHeight="1" x14ac:dyDescent="0.25">
      <c r="A11" s="59"/>
      <c r="F11" s="61"/>
    </row>
    <row r="12" spans="1:6" x14ac:dyDescent="0.25">
      <c r="A12" s="59"/>
      <c r="B12" s="64" t="s">
        <v>56</v>
      </c>
      <c r="D12" s="113" t="s">
        <v>57</v>
      </c>
      <c r="E12" s="113"/>
      <c r="F12" s="61"/>
    </row>
    <row r="13" spans="1:6" x14ac:dyDescent="0.25">
      <c r="A13" s="59"/>
      <c r="B13" s="66" t="s">
        <v>8</v>
      </c>
      <c r="D13" s="113" t="s">
        <v>54</v>
      </c>
      <c r="E13" s="113"/>
      <c r="F13" s="61"/>
    </row>
    <row r="14" spans="1:6" x14ac:dyDescent="0.25">
      <c r="A14" s="59"/>
      <c r="B14" s="64"/>
      <c r="D14" s="67"/>
      <c r="F14" s="61"/>
    </row>
    <row r="15" spans="1:6" x14ac:dyDescent="0.25">
      <c r="A15" s="59"/>
      <c r="B15" s="103" t="str">
        <f>+[2]PARTICIPACIONES!B14:F14</f>
        <v>AL MES DE : MARZO DE 2026</v>
      </c>
      <c r="C15" s="103"/>
      <c r="D15" s="103"/>
      <c r="E15" s="103"/>
      <c r="F15" s="65"/>
    </row>
    <row r="16" spans="1:6" x14ac:dyDescent="0.25">
      <c r="A16" s="59"/>
      <c r="B16" s="68"/>
      <c r="C16" s="68"/>
      <c r="D16" s="68"/>
      <c r="E16" s="68"/>
      <c r="F16" s="61"/>
    </row>
    <row r="17" spans="1:9" s="71" customFormat="1" ht="28.5" customHeight="1" x14ac:dyDescent="0.25">
      <c r="A17" s="69"/>
      <c r="B17" s="17" t="s">
        <v>10</v>
      </c>
      <c r="C17" s="18" t="s">
        <v>55</v>
      </c>
      <c r="D17" s="17" t="s">
        <v>13</v>
      </c>
      <c r="E17" s="17" t="s">
        <v>14</v>
      </c>
      <c r="F17" s="70"/>
    </row>
    <row r="18" spans="1:9" ht="34.5" customHeight="1" x14ac:dyDescent="0.25">
      <c r="A18" s="59"/>
      <c r="B18" s="72"/>
      <c r="C18" s="51"/>
      <c r="D18" s="24"/>
      <c r="E18" s="73"/>
      <c r="F18" s="61"/>
    </row>
    <row r="19" spans="1:9" ht="34.5" customHeight="1" x14ac:dyDescent="0.25">
      <c r="A19" s="59"/>
      <c r="B19" s="72"/>
      <c r="C19" s="51"/>
      <c r="D19" s="24"/>
      <c r="E19" s="73"/>
      <c r="F19" s="61"/>
    </row>
    <row r="20" spans="1:9" ht="34.5" customHeight="1" x14ac:dyDescent="0.25">
      <c r="A20" s="59"/>
      <c r="B20" s="72"/>
      <c r="C20" s="51"/>
      <c r="D20" s="24"/>
      <c r="E20" s="73"/>
      <c r="F20" s="61"/>
    </row>
    <row r="21" spans="1:9" ht="18" customHeight="1" x14ac:dyDescent="0.25">
      <c r="A21" s="59"/>
      <c r="B21" s="104"/>
      <c r="C21" s="104"/>
      <c r="D21" s="17" t="s">
        <v>15</v>
      </c>
      <c r="E21" s="29">
        <f>SUM(E18:E20)</f>
        <v>0</v>
      </c>
      <c r="F21" s="61"/>
    </row>
    <row r="22" spans="1:9" x14ac:dyDescent="0.25">
      <c r="A22" s="59"/>
      <c r="F22" s="61"/>
    </row>
    <row r="23" spans="1:9" s="75" customFormat="1" x14ac:dyDescent="0.2">
      <c r="A23" s="74"/>
      <c r="B23" s="31"/>
      <c r="C23" s="5"/>
      <c r="D23" s="35"/>
      <c r="E23" s="31"/>
      <c r="F23" s="8"/>
      <c r="G23" s="32"/>
      <c r="I23" s="76"/>
    </row>
    <row r="24" spans="1:9" s="75" customFormat="1" x14ac:dyDescent="0.2">
      <c r="A24" s="74"/>
      <c r="B24" s="31"/>
      <c r="C24" s="5"/>
      <c r="D24" s="36"/>
      <c r="E24" s="36"/>
      <c r="F24" s="77"/>
      <c r="G24" s="32"/>
      <c r="I24" s="76"/>
    </row>
    <row r="25" spans="1:9" s="75" customFormat="1" x14ac:dyDescent="0.2">
      <c r="A25" s="74"/>
      <c r="B25" s="31"/>
      <c r="C25" s="5"/>
      <c r="D25" s="36"/>
      <c r="E25" s="36"/>
      <c r="F25" s="77"/>
      <c r="G25" s="32"/>
      <c r="I25" s="76"/>
    </row>
    <row r="26" spans="1:9" s="75" customFormat="1" x14ac:dyDescent="0.2">
      <c r="A26" s="74"/>
      <c r="B26" s="31"/>
      <c r="C26" s="31"/>
      <c r="D26" s="31"/>
      <c r="E26" s="31"/>
      <c r="F26" s="32"/>
      <c r="G26" s="32"/>
      <c r="I26" s="76"/>
    </row>
    <row r="27" spans="1:9" s="75" customFormat="1" x14ac:dyDescent="0.2">
      <c r="A27" s="74"/>
      <c r="B27" s="36"/>
      <c r="C27" s="36"/>
      <c r="D27" s="36"/>
      <c r="E27" s="36"/>
      <c r="F27" s="38"/>
      <c r="G27" s="38"/>
      <c r="I27" s="76"/>
    </row>
    <row r="28" spans="1:9" s="75" customFormat="1" x14ac:dyDescent="0.2">
      <c r="A28" s="74"/>
      <c r="B28" s="31"/>
      <c r="C28" s="37"/>
      <c r="D28" s="36"/>
      <c r="E28" s="36"/>
      <c r="F28" s="77"/>
      <c r="G28" s="32"/>
      <c r="I28" s="76"/>
    </row>
    <row r="29" spans="1:9" s="75" customFormat="1" ht="28.5" customHeight="1" x14ac:dyDescent="0.2">
      <c r="A29" s="74"/>
      <c r="B29" s="31"/>
      <c r="C29" s="37"/>
      <c r="D29" s="36"/>
      <c r="E29" s="36"/>
      <c r="F29" s="77"/>
      <c r="G29" s="32"/>
      <c r="I29" s="76"/>
    </row>
    <row r="30" spans="1:9" s="76" customFormat="1" x14ac:dyDescent="0.2">
      <c r="A30" s="78"/>
      <c r="B30" s="31"/>
      <c r="C30" s="37"/>
      <c r="D30" s="36"/>
      <c r="E30" s="36"/>
      <c r="F30" s="77"/>
      <c r="G30" s="32"/>
      <c r="H30" s="75"/>
    </row>
    <row r="31" spans="1:9" s="76" customFormat="1" ht="14.25" x14ac:dyDescent="0.2">
      <c r="A31" s="78"/>
      <c r="B31" s="35"/>
      <c r="C31" s="35"/>
      <c r="D31" s="35"/>
      <c r="E31" s="35"/>
      <c r="F31" s="40"/>
      <c r="G31" s="40"/>
      <c r="H31" s="75"/>
    </row>
    <row r="32" spans="1:9" s="76" customFormat="1" x14ac:dyDescent="0.2">
      <c r="A32" s="78"/>
      <c r="B32" s="5"/>
      <c r="C32" s="41"/>
      <c r="D32" s="41"/>
      <c r="E32" s="41"/>
      <c r="F32" s="8"/>
      <c r="G32" s="8"/>
      <c r="H32" s="75"/>
    </row>
    <row r="33" spans="1:8" s="76" customFormat="1" x14ac:dyDescent="0.2">
      <c r="A33" s="78"/>
      <c r="B33" s="5"/>
      <c r="C33" s="41"/>
      <c r="D33" s="41"/>
      <c r="E33" s="41"/>
      <c r="F33" s="8"/>
      <c r="G33" s="8"/>
      <c r="H33" s="75"/>
    </row>
    <row r="34" spans="1:8" x14ac:dyDescent="0.25">
      <c r="A34" s="59"/>
      <c r="B34" s="5"/>
      <c r="C34" s="41"/>
      <c r="D34" s="41"/>
      <c r="E34" s="41"/>
      <c r="F34" s="8"/>
      <c r="G34" s="8"/>
    </row>
    <row r="35" spans="1:8" x14ac:dyDescent="0.25">
      <c r="A35" s="59"/>
      <c r="B35" s="5"/>
      <c r="C35" s="5"/>
      <c r="D35" s="5"/>
      <c r="E35" s="42"/>
      <c r="F35" s="8"/>
      <c r="G35" s="8"/>
    </row>
    <row r="36" spans="1:8" x14ac:dyDescent="0.25">
      <c r="A36" s="59"/>
      <c r="C36" s="79"/>
      <c r="D36" s="79"/>
      <c r="F36" s="61"/>
    </row>
    <row r="37" spans="1:8" x14ac:dyDescent="0.25">
      <c r="A37" s="59"/>
      <c r="C37" s="79"/>
      <c r="D37" s="79"/>
      <c r="F37" s="61"/>
    </row>
    <row r="38" spans="1:8" x14ac:dyDescent="0.25">
      <c r="A38" s="59"/>
      <c r="D38" s="80"/>
      <c r="F38" s="61"/>
    </row>
    <row r="39" spans="1:8" ht="15.75" thickBot="1" x14ac:dyDescent="0.3">
      <c r="A39" s="81"/>
      <c r="B39" s="82"/>
      <c r="C39" s="82"/>
      <c r="D39" s="83"/>
      <c r="E39" s="82"/>
      <c r="F39" s="84"/>
    </row>
  </sheetData>
  <mergeCells count="8">
    <mergeCell ref="B15:E15"/>
    <mergeCell ref="B21:C21"/>
    <mergeCell ref="B3:E3"/>
    <mergeCell ref="B5:E5"/>
    <mergeCell ref="A7:F7"/>
    <mergeCell ref="A10:F10"/>
    <mergeCell ref="D12:E12"/>
    <mergeCell ref="D13:E13"/>
  </mergeCells>
  <pageMargins left="0.7" right="0.7" top="0.75" bottom="0.75" header="0.3" footer="0.3"/>
  <pageSetup scale="6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view="pageBreakPreview" zoomScale="60" zoomScaleNormal="100" workbookViewId="0">
      <selection activeCell="J18" sqref="J18"/>
    </sheetView>
  </sheetViews>
  <sheetFormatPr baseColWidth="10" defaultRowHeight="15" x14ac:dyDescent="0.25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18" customWidth="1"/>
    <col min="6" max="6" width="4.140625" customWidth="1"/>
  </cols>
  <sheetData>
    <row r="1" spans="1:6" x14ac:dyDescent="0.25">
      <c r="A1" s="55"/>
      <c r="B1" s="56"/>
      <c r="C1" s="56"/>
      <c r="D1" s="56"/>
      <c r="E1" s="57" t="s">
        <v>0</v>
      </c>
      <c r="F1" s="58"/>
    </row>
    <row r="2" spans="1:6" x14ac:dyDescent="0.25">
      <c r="A2" s="59"/>
      <c r="D2" s="60"/>
      <c r="F2" s="61"/>
    </row>
    <row r="3" spans="1:6" ht="15.75" x14ac:dyDescent="0.25">
      <c r="A3" s="59"/>
      <c r="B3" s="105" t="s">
        <v>1</v>
      </c>
      <c r="C3" s="105"/>
      <c r="D3" s="105"/>
      <c r="E3" s="105"/>
      <c r="F3" s="61"/>
    </row>
    <row r="4" spans="1:6" x14ac:dyDescent="0.25">
      <c r="A4" s="59"/>
      <c r="B4" s="60"/>
      <c r="D4" s="62"/>
      <c r="F4" s="61"/>
    </row>
    <row r="5" spans="1:6" x14ac:dyDescent="0.25">
      <c r="A5" s="59"/>
      <c r="B5" s="106" t="s">
        <v>51</v>
      </c>
      <c r="C5" s="106"/>
      <c r="D5" s="106"/>
      <c r="E5" s="106"/>
      <c r="F5" s="63"/>
    </row>
    <row r="6" spans="1:6" x14ac:dyDescent="0.25">
      <c r="A6" s="59"/>
      <c r="E6" s="64"/>
      <c r="F6" s="65"/>
    </row>
    <row r="7" spans="1:6" x14ac:dyDescent="0.25">
      <c r="A7" s="107" t="s">
        <v>3</v>
      </c>
      <c r="B7" s="108"/>
      <c r="C7" s="108"/>
      <c r="D7" s="108"/>
      <c r="E7" s="108"/>
      <c r="F7" s="109"/>
    </row>
    <row r="8" spans="1:6" x14ac:dyDescent="0.25">
      <c r="A8" s="59"/>
      <c r="F8" s="65"/>
    </row>
    <row r="9" spans="1:6" x14ac:dyDescent="0.25">
      <c r="A9" s="59"/>
      <c r="F9" s="65"/>
    </row>
    <row r="10" spans="1:6" x14ac:dyDescent="0.25">
      <c r="A10" s="110" t="s">
        <v>5</v>
      </c>
      <c r="B10" s="111"/>
      <c r="C10" s="111"/>
      <c r="D10" s="111"/>
      <c r="E10" s="111"/>
      <c r="F10" s="112"/>
    </row>
    <row r="11" spans="1:6" ht="22.5" customHeight="1" x14ac:dyDescent="0.25">
      <c r="A11" s="59"/>
      <c r="F11" s="61"/>
    </row>
    <row r="12" spans="1:6" x14ac:dyDescent="0.25">
      <c r="A12" s="59"/>
      <c r="B12" s="64" t="s">
        <v>58</v>
      </c>
      <c r="D12" s="113" t="s">
        <v>59</v>
      </c>
      <c r="E12" s="113"/>
      <c r="F12" s="61"/>
    </row>
    <row r="13" spans="1:6" x14ac:dyDescent="0.25">
      <c r="A13" s="59"/>
      <c r="B13" s="66" t="s">
        <v>8</v>
      </c>
      <c r="D13" s="113" t="s">
        <v>60</v>
      </c>
      <c r="E13" s="113"/>
      <c r="F13" s="61"/>
    </row>
    <row r="14" spans="1:6" x14ac:dyDescent="0.25">
      <c r="A14" s="59"/>
      <c r="B14" s="64"/>
      <c r="D14" s="67"/>
      <c r="F14" s="61"/>
    </row>
    <row r="15" spans="1:6" x14ac:dyDescent="0.25">
      <c r="A15" s="59"/>
      <c r="B15" s="103" t="str">
        <f>+[3]FAISMUN!B14:F14</f>
        <v>AL MES DE : MARZO DE 2026</v>
      </c>
      <c r="C15" s="103"/>
      <c r="D15" s="103"/>
      <c r="E15" s="103"/>
      <c r="F15" s="65"/>
    </row>
    <row r="16" spans="1:6" x14ac:dyDescent="0.25">
      <c r="A16" s="59"/>
      <c r="B16" s="68"/>
      <c r="C16" s="68"/>
      <c r="D16" s="68"/>
      <c r="E16" s="68"/>
      <c r="F16" s="61"/>
    </row>
    <row r="17" spans="1:9" s="71" customFormat="1" ht="28.5" customHeight="1" x14ac:dyDescent="0.25">
      <c r="A17" s="69"/>
      <c r="B17" s="17" t="s">
        <v>10</v>
      </c>
      <c r="C17" s="18" t="s">
        <v>55</v>
      </c>
      <c r="D17" s="17" t="s">
        <v>13</v>
      </c>
      <c r="E17" s="17" t="s">
        <v>14</v>
      </c>
      <c r="F17" s="70"/>
    </row>
    <row r="18" spans="1:9" ht="34.5" customHeight="1" x14ac:dyDescent="0.25">
      <c r="A18" s="59"/>
      <c r="B18" s="72"/>
      <c r="C18" s="51"/>
      <c r="D18" s="24"/>
      <c r="E18" s="73"/>
      <c r="F18" s="61"/>
    </row>
    <row r="19" spans="1:9" ht="34.5" customHeight="1" x14ac:dyDescent="0.25">
      <c r="A19" s="59"/>
      <c r="B19" s="72"/>
      <c r="C19" s="51"/>
      <c r="D19" s="24"/>
      <c r="E19" s="73"/>
      <c r="F19" s="61"/>
    </row>
    <row r="20" spans="1:9" ht="34.5" customHeight="1" x14ac:dyDescent="0.25">
      <c r="A20" s="59"/>
      <c r="B20" s="72"/>
      <c r="C20" s="51"/>
      <c r="D20" s="24"/>
      <c r="E20" s="73"/>
      <c r="F20" s="61"/>
    </row>
    <row r="21" spans="1:9" ht="18" customHeight="1" x14ac:dyDescent="0.25">
      <c r="A21" s="59"/>
      <c r="B21" s="104"/>
      <c r="C21" s="104"/>
      <c r="D21" s="17" t="s">
        <v>15</v>
      </c>
      <c r="E21" s="29">
        <f>SUM(E18:E20)</f>
        <v>0</v>
      </c>
      <c r="F21" s="61"/>
    </row>
    <row r="22" spans="1:9" x14ac:dyDescent="0.25">
      <c r="A22" s="59"/>
      <c r="F22" s="61"/>
    </row>
    <row r="23" spans="1:9" s="75" customFormat="1" x14ac:dyDescent="0.2">
      <c r="A23" s="74"/>
      <c r="B23" s="31"/>
      <c r="C23" s="5"/>
      <c r="D23" s="35"/>
      <c r="E23" s="31"/>
      <c r="F23" s="8"/>
      <c r="G23" s="32"/>
      <c r="I23" s="76"/>
    </row>
    <row r="24" spans="1:9" s="75" customFormat="1" x14ac:dyDescent="0.2">
      <c r="A24" s="74"/>
      <c r="B24" s="31"/>
      <c r="C24" s="5"/>
      <c r="D24" s="36"/>
      <c r="E24" s="36"/>
      <c r="F24" s="77"/>
      <c r="G24" s="32"/>
      <c r="I24" s="76"/>
    </row>
    <row r="25" spans="1:9" s="75" customFormat="1" x14ac:dyDescent="0.2">
      <c r="A25" s="74"/>
      <c r="B25" s="31"/>
      <c r="C25" s="5"/>
      <c r="D25" s="36"/>
      <c r="E25" s="36"/>
      <c r="F25" s="77"/>
      <c r="G25" s="32"/>
      <c r="I25" s="76"/>
    </row>
    <row r="26" spans="1:9" s="75" customFormat="1" x14ac:dyDescent="0.2">
      <c r="A26" s="74"/>
      <c r="B26" s="31"/>
      <c r="C26" s="31"/>
      <c r="D26" s="31"/>
      <c r="E26" s="31"/>
      <c r="F26" s="32"/>
      <c r="G26" s="32"/>
      <c r="I26" s="76"/>
    </row>
    <row r="27" spans="1:9" s="75" customFormat="1" x14ac:dyDescent="0.2">
      <c r="A27" s="74"/>
      <c r="B27" s="36"/>
      <c r="C27" s="36"/>
      <c r="D27" s="36"/>
      <c r="E27" s="36"/>
      <c r="F27" s="38"/>
      <c r="G27" s="38"/>
      <c r="I27" s="76"/>
    </row>
    <row r="28" spans="1:9" s="75" customFormat="1" x14ac:dyDescent="0.2">
      <c r="A28" s="74"/>
      <c r="B28" s="31"/>
      <c r="C28" s="37"/>
      <c r="D28" s="36"/>
      <c r="E28" s="36"/>
      <c r="F28" s="77"/>
      <c r="G28" s="32"/>
      <c r="I28" s="76"/>
    </row>
    <row r="29" spans="1:9" s="75" customFormat="1" ht="28.5" customHeight="1" x14ac:dyDescent="0.2">
      <c r="A29" s="74"/>
      <c r="B29" s="31"/>
      <c r="C29" s="37"/>
      <c r="D29" s="36"/>
      <c r="E29" s="36"/>
      <c r="F29" s="77"/>
      <c r="G29" s="32"/>
      <c r="I29" s="76"/>
    </row>
    <row r="30" spans="1:9" s="76" customFormat="1" x14ac:dyDescent="0.2">
      <c r="A30" s="78"/>
      <c r="B30" s="31"/>
      <c r="C30" s="37"/>
      <c r="D30" s="36"/>
      <c r="E30" s="36"/>
      <c r="F30" s="77"/>
      <c r="G30" s="32"/>
      <c r="H30" s="75"/>
    </row>
    <row r="31" spans="1:9" s="76" customFormat="1" ht="14.25" x14ac:dyDescent="0.2">
      <c r="A31" s="78"/>
      <c r="B31" s="35"/>
      <c r="C31" s="35"/>
      <c r="D31" s="35"/>
      <c r="E31" s="35"/>
      <c r="F31" s="40"/>
      <c r="G31" s="40"/>
      <c r="H31" s="75"/>
    </row>
    <row r="32" spans="1:9" s="76" customFormat="1" x14ac:dyDescent="0.2">
      <c r="A32" s="78"/>
      <c r="B32" s="5"/>
      <c r="C32" s="41"/>
      <c r="D32" s="41"/>
      <c r="E32" s="41"/>
      <c r="F32" s="8"/>
      <c r="G32" s="8"/>
      <c r="H32" s="75"/>
    </row>
    <row r="33" spans="1:8" s="76" customFormat="1" x14ac:dyDescent="0.2">
      <c r="A33" s="78"/>
      <c r="B33" s="5"/>
      <c r="C33" s="41"/>
      <c r="D33" s="41"/>
      <c r="E33" s="41"/>
      <c r="F33" s="8"/>
      <c r="G33" s="8"/>
      <c r="H33" s="75"/>
    </row>
    <row r="34" spans="1:8" x14ac:dyDescent="0.25">
      <c r="A34" s="59"/>
      <c r="B34" s="5"/>
      <c r="C34" s="41"/>
      <c r="D34" s="41"/>
      <c r="E34" s="41"/>
      <c r="F34" s="8"/>
      <c r="G34" s="8"/>
    </row>
    <row r="35" spans="1:8" x14ac:dyDescent="0.25">
      <c r="A35" s="59"/>
      <c r="B35" s="5"/>
      <c r="C35" s="5"/>
      <c r="D35" s="5"/>
      <c r="E35" s="42"/>
      <c r="F35" s="8"/>
      <c r="G35" s="8"/>
    </row>
    <row r="36" spans="1:8" x14ac:dyDescent="0.25">
      <c r="A36" s="59"/>
      <c r="C36" s="79"/>
      <c r="D36" s="79"/>
      <c r="F36" s="61"/>
    </row>
    <row r="37" spans="1:8" x14ac:dyDescent="0.25">
      <c r="A37" s="59"/>
      <c r="C37" s="79"/>
      <c r="D37" s="79"/>
      <c r="F37" s="61"/>
    </row>
    <row r="38" spans="1:8" x14ac:dyDescent="0.25">
      <c r="A38" s="59"/>
      <c r="D38" s="80"/>
      <c r="F38" s="61"/>
    </row>
    <row r="39" spans="1:8" ht="15.75" thickBot="1" x14ac:dyDescent="0.3">
      <c r="A39" s="81"/>
      <c r="B39" s="82"/>
      <c r="C39" s="82"/>
      <c r="D39" s="83"/>
      <c r="E39" s="82"/>
      <c r="F39" s="84"/>
    </row>
  </sheetData>
  <mergeCells count="8">
    <mergeCell ref="B15:E15"/>
    <mergeCell ref="B21:C21"/>
    <mergeCell ref="B3:E3"/>
    <mergeCell ref="B5:E5"/>
    <mergeCell ref="A7:F7"/>
    <mergeCell ref="A10:F10"/>
    <mergeCell ref="D12:E12"/>
    <mergeCell ref="D13:E13"/>
  </mergeCells>
  <pageMargins left="0.7" right="0.7" top="0.75" bottom="0.75" header="0.3" footer="0.3"/>
  <pageSetup scale="6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view="pageBreakPreview" topLeftCell="A4" zoomScale="60" zoomScaleNormal="100" workbookViewId="0">
      <selection activeCell="O18" sqref="O18"/>
    </sheetView>
  </sheetViews>
  <sheetFormatPr baseColWidth="10" defaultRowHeight="15" x14ac:dyDescent="0.25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18" customWidth="1"/>
    <col min="6" max="6" width="4.140625" customWidth="1"/>
  </cols>
  <sheetData>
    <row r="1" spans="1:6" x14ac:dyDescent="0.25">
      <c r="A1" s="55"/>
      <c r="B1" s="56"/>
      <c r="C1" s="56"/>
      <c r="D1" s="56"/>
      <c r="E1" s="57" t="s">
        <v>0</v>
      </c>
      <c r="F1" s="58"/>
    </row>
    <row r="2" spans="1:6" x14ac:dyDescent="0.25">
      <c r="A2" s="59"/>
      <c r="D2" s="60"/>
      <c r="F2" s="61"/>
    </row>
    <row r="3" spans="1:6" ht="15.75" x14ac:dyDescent="0.25">
      <c r="A3" s="59"/>
      <c r="B3" s="105" t="s">
        <v>1</v>
      </c>
      <c r="C3" s="105"/>
      <c r="D3" s="105"/>
      <c r="E3" s="105"/>
      <c r="F3" s="61"/>
    </row>
    <row r="4" spans="1:6" x14ac:dyDescent="0.25">
      <c r="A4" s="59"/>
      <c r="B4" s="60"/>
      <c r="D4" s="62"/>
      <c r="F4" s="61"/>
    </row>
    <row r="5" spans="1:6" x14ac:dyDescent="0.25">
      <c r="A5" s="59"/>
      <c r="B5" s="106" t="s">
        <v>51</v>
      </c>
      <c r="C5" s="106"/>
      <c r="D5" s="106"/>
      <c r="E5" s="106"/>
      <c r="F5" s="63"/>
    </row>
    <row r="6" spans="1:6" x14ac:dyDescent="0.25">
      <c r="A6" s="59"/>
      <c r="E6" s="64"/>
      <c r="F6" s="65"/>
    </row>
    <row r="7" spans="1:6" x14ac:dyDescent="0.25">
      <c r="A7" s="107" t="s">
        <v>61</v>
      </c>
      <c r="B7" s="108"/>
      <c r="C7" s="108"/>
      <c r="D7" s="108"/>
      <c r="E7" s="108"/>
      <c r="F7" s="109"/>
    </row>
    <row r="8" spans="1:6" x14ac:dyDescent="0.25">
      <c r="A8" s="59"/>
      <c r="F8" s="65"/>
    </row>
    <row r="9" spans="1:6" x14ac:dyDescent="0.25">
      <c r="A9" s="59"/>
      <c r="F9" s="65"/>
    </row>
    <row r="10" spans="1:6" x14ac:dyDescent="0.25">
      <c r="A10" s="110" t="s">
        <v>33</v>
      </c>
      <c r="B10" s="111"/>
      <c r="C10" s="111"/>
      <c r="D10" s="111"/>
      <c r="E10" s="111"/>
      <c r="F10" s="112"/>
    </row>
    <row r="11" spans="1:6" ht="22.5" customHeight="1" x14ac:dyDescent="0.25">
      <c r="A11" s="59"/>
      <c r="F11" s="61"/>
    </row>
    <row r="12" spans="1:6" x14ac:dyDescent="0.25">
      <c r="A12" s="59"/>
      <c r="B12" s="64" t="s">
        <v>62</v>
      </c>
      <c r="D12" s="113" t="s">
        <v>63</v>
      </c>
      <c r="E12" s="113"/>
      <c r="F12" s="61"/>
    </row>
    <row r="13" spans="1:6" x14ac:dyDescent="0.25">
      <c r="A13" s="59"/>
      <c r="B13" s="66" t="s">
        <v>8</v>
      </c>
      <c r="D13" s="113" t="s">
        <v>54</v>
      </c>
      <c r="E13" s="113"/>
      <c r="F13" s="61"/>
    </row>
    <row r="14" spans="1:6" x14ac:dyDescent="0.25">
      <c r="A14" s="59"/>
      <c r="B14" s="64"/>
      <c r="D14" s="67"/>
      <c r="F14" s="61"/>
    </row>
    <row r="15" spans="1:6" x14ac:dyDescent="0.25">
      <c r="A15" s="59"/>
      <c r="B15" s="103" t="str">
        <f>+[4]FORTAMUN!B14:F14</f>
        <v>AL MES DE : MARZO DE 2026</v>
      </c>
      <c r="C15" s="103"/>
      <c r="D15" s="103"/>
      <c r="E15" s="103"/>
      <c r="F15" s="65"/>
    </row>
    <row r="16" spans="1:6" x14ac:dyDescent="0.25">
      <c r="A16" s="59"/>
      <c r="B16" s="68"/>
      <c r="C16" s="68"/>
      <c r="D16" s="68"/>
      <c r="E16" s="68"/>
      <c r="F16" s="61"/>
    </row>
    <row r="17" spans="1:9" s="71" customFormat="1" ht="28.5" customHeight="1" x14ac:dyDescent="0.25">
      <c r="A17" s="69"/>
      <c r="B17" s="17" t="s">
        <v>64</v>
      </c>
      <c r="C17" s="18" t="s">
        <v>55</v>
      </c>
      <c r="D17" s="17" t="s">
        <v>13</v>
      </c>
      <c r="E17" s="17" t="s">
        <v>14</v>
      </c>
      <c r="F17" s="70"/>
    </row>
    <row r="18" spans="1:9" ht="34.5" customHeight="1" x14ac:dyDescent="0.25">
      <c r="A18" s="59"/>
      <c r="B18" s="72"/>
      <c r="C18" s="51"/>
      <c r="D18" s="24"/>
      <c r="E18" s="73"/>
      <c r="F18" s="61"/>
    </row>
    <row r="19" spans="1:9" ht="34.5" customHeight="1" x14ac:dyDescent="0.25">
      <c r="A19" s="59"/>
      <c r="B19" s="72"/>
      <c r="C19" s="51"/>
      <c r="D19" s="24"/>
      <c r="E19" s="73"/>
      <c r="F19" s="61"/>
    </row>
    <row r="20" spans="1:9" ht="34.5" customHeight="1" x14ac:dyDescent="0.25">
      <c r="A20" s="59"/>
      <c r="B20" s="72"/>
      <c r="C20" s="51"/>
      <c r="D20" s="24"/>
      <c r="E20" s="73"/>
      <c r="F20" s="61"/>
    </row>
    <row r="21" spans="1:9" ht="18" customHeight="1" x14ac:dyDescent="0.25">
      <c r="A21" s="59"/>
      <c r="B21" s="104"/>
      <c r="C21" s="104"/>
      <c r="D21" s="17" t="s">
        <v>15</v>
      </c>
      <c r="E21" s="29">
        <f>SUM(E18:E20)</f>
        <v>0</v>
      </c>
      <c r="F21" s="61"/>
    </row>
    <row r="22" spans="1:9" x14ac:dyDescent="0.25">
      <c r="A22" s="59"/>
      <c r="F22" s="61"/>
    </row>
    <row r="23" spans="1:9" s="75" customFormat="1" x14ac:dyDescent="0.2">
      <c r="A23" s="74"/>
      <c r="B23" s="31"/>
      <c r="C23" s="5"/>
      <c r="D23" s="35"/>
      <c r="E23" s="31"/>
      <c r="F23" s="8"/>
      <c r="G23" s="32"/>
      <c r="I23" s="76"/>
    </row>
    <row r="24" spans="1:9" s="75" customFormat="1" x14ac:dyDescent="0.2">
      <c r="A24" s="74"/>
      <c r="B24" s="31"/>
      <c r="C24" s="5"/>
      <c r="D24" s="36"/>
      <c r="E24" s="36"/>
      <c r="F24" s="77"/>
      <c r="G24" s="32"/>
      <c r="I24" s="76"/>
    </row>
    <row r="25" spans="1:9" s="75" customFormat="1" x14ac:dyDescent="0.2">
      <c r="A25" s="74"/>
      <c r="B25" s="31"/>
      <c r="C25" s="5"/>
      <c r="D25" s="36"/>
      <c r="E25" s="36"/>
      <c r="F25" s="77"/>
      <c r="G25" s="32"/>
      <c r="I25" s="76"/>
    </row>
    <row r="26" spans="1:9" s="75" customFormat="1" x14ac:dyDescent="0.2">
      <c r="A26" s="74"/>
      <c r="B26" s="31"/>
      <c r="C26" s="31"/>
      <c r="D26" s="31"/>
      <c r="E26" s="31"/>
      <c r="F26" s="32"/>
      <c r="G26" s="32"/>
      <c r="I26" s="76"/>
    </row>
    <row r="27" spans="1:9" s="75" customFormat="1" x14ac:dyDescent="0.2">
      <c r="A27" s="74"/>
      <c r="B27" s="36"/>
      <c r="C27" s="36"/>
      <c r="D27" s="36"/>
      <c r="E27" s="36"/>
      <c r="F27" s="38"/>
      <c r="G27" s="38"/>
      <c r="I27" s="76"/>
    </row>
    <row r="28" spans="1:9" s="75" customFormat="1" x14ac:dyDescent="0.2">
      <c r="A28" s="74"/>
      <c r="B28" s="31"/>
      <c r="C28" s="37"/>
      <c r="D28" s="36"/>
      <c r="E28" s="36"/>
      <c r="F28" s="77"/>
      <c r="G28" s="32"/>
      <c r="I28" s="76"/>
    </row>
    <row r="29" spans="1:9" s="75" customFormat="1" ht="28.5" customHeight="1" x14ac:dyDescent="0.2">
      <c r="A29" s="74"/>
      <c r="B29" s="31"/>
      <c r="C29" s="37"/>
      <c r="D29" s="36"/>
      <c r="E29" s="36"/>
      <c r="F29" s="77"/>
      <c r="G29" s="32"/>
      <c r="I29" s="76"/>
    </row>
    <row r="30" spans="1:9" s="76" customFormat="1" x14ac:dyDescent="0.2">
      <c r="A30" s="78"/>
      <c r="B30" s="31"/>
      <c r="C30" s="37"/>
      <c r="D30" s="36"/>
      <c r="E30" s="36"/>
      <c r="F30" s="77"/>
      <c r="G30" s="32"/>
      <c r="H30" s="75"/>
    </row>
    <row r="31" spans="1:9" s="76" customFormat="1" ht="14.25" x14ac:dyDescent="0.2">
      <c r="A31" s="78"/>
      <c r="B31" s="35"/>
      <c r="C31" s="35"/>
      <c r="D31" s="35"/>
      <c r="E31" s="35"/>
      <c r="F31" s="40"/>
      <c r="G31" s="40"/>
      <c r="H31" s="75"/>
    </row>
    <row r="32" spans="1:9" s="76" customFormat="1" x14ac:dyDescent="0.2">
      <c r="A32" s="78"/>
      <c r="B32" s="5"/>
      <c r="C32" s="41"/>
      <c r="D32" s="41"/>
      <c r="E32" s="41"/>
      <c r="F32" s="8"/>
      <c r="G32" s="8"/>
      <c r="H32" s="75"/>
    </row>
    <row r="33" spans="1:8" s="76" customFormat="1" x14ac:dyDescent="0.2">
      <c r="A33" s="78"/>
      <c r="B33" s="5"/>
      <c r="C33" s="41"/>
      <c r="D33" s="41"/>
      <c r="E33" s="41"/>
      <c r="F33" s="8"/>
      <c r="G33" s="8"/>
      <c r="H33" s="75"/>
    </row>
    <row r="34" spans="1:8" x14ac:dyDescent="0.25">
      <c r="A34" s="59"/>
      <c r="B34" s="5"/>
      <c r="C34" s="41"/>
      <c r="D34" s="41"/>
      <c r="E34" s="41"/>
      <c r="F34" s="8"/>
      <c r="G34" s="8"/>
    </row>
    <row r="35" spans="1:8" x14ac:dyDescent="0.25">
      <c r="A35" s="59"/>
      <c r="B35" s="5"/>
      <c r="C35" s="5"/>
      <c r="D35" s="5"/>
      <c r="E35" s="42"/>
      <c r="F35" s="8"/>
      <c r="G35" s="8"/>
    </row>
    <row r="36" spans="1:8" x14ac:dyDescent="0.25">
      <c r="A36" s="59"/>
      <c r="C36" s="79"/>
      <c r="D36" s="79"/>
      <c r="F36" s="61"/>
    </row>
    <row r="37" spans="1:8" x14ac:dyDescent="0.25">
      <c r="A37" s="59"/>
      <c r="C37" s="79"/>
      <c r="D37" s="79"/>
      <c r="F37" s="61"/>
    </row>
    <row r="38" spans="1:8" x14ac:dyDescent="0.25">
      <c r="A38" s="59"/>
      <c r="D38" s="80"/>
      <c r="F38" s="61"/>
    </row>
    <row r="39" spans="1:8" ht="15.75" thickBot="1" x14ac:dyDescent="0.3">
      <c r="A39" s="81"/>
      <c r="B39" s="82"/>
      <c r="C39" s="82"/>
      <c r="D39" s="83"/>
      <c r="E39" s="82"/>
      <c r="F39" s="84"/>
    </row>
  </sheetData>
  <mergeCells count="8">
    <mergeCell ref="B15:E15"/>
    <mergeCell ref="B21:C21"/>
    <mergeCell ref="B3:E3"/>
    <mergeCell ref="B5:E5"/>
    <mergeCell ref="A7:F7"/>
    <mergeCell ref="A10:F10"/>
    <mergeCell ref="D12:E12"/>
    <mergeCell ref="D13:E13"/>
  </mergeCells>
  <pageMargins left="0.7" right="0.7" top="0.75" bottom="0.75" header="0.3" footer="0.3"/>
  <pageSetup scale="6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view="pageBreakPreview" zoomScale="60" zoomScaleNormal="100" workbookViewId="0">
      <selection activeCell="H13" sqref="H13"/>
    </sheetView>
  </sheetViews>
  <sheetFormatPr baseColWidth="10" defaultRowHeight="15" x14ac:dyDescent="0.25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23" customWidth="1"/>
    <col min="6" max="6" width="4.140625" customWidth="1"/>
    <col min="7" max="7" width="32.42578125" customWidth="1"/>
  </cols>
  <sheetData>
    <row r="1" spans="1:6" x14ac:dyDescent="0.25">
      <c r="A1" s="55"/>
      <c r="B1" s="56"/>
      <c r="C1" s="56"/>
      <c r="D1" s="56"/>
      <c r="E1" s="57" t="s">
        <v>0</v>
      </c>
      <c r="F1" s="58"/>
    </row>
    <row r="2" spans="1:6" x14ac:dyDescent="0.25">
      <c r="A2" s="59"/>
      <c r="B2" s="114"/>
      <c r="C2" s="114"/>
      <c r="D2" s="115"/>
      <c r="E2" s="114"/>
      <c r="F2" s="61"/>
    </row>
    <row r="3" spans="1:6" ht="15.75" x14ac:dyDescent="0.25">
      <c r="A3" s="59"/>
      <c r="B3" s="116" t="s">
        <v>1</v>
      </c>
      <c r="C3" s="116"/>
      <c r="D3" s="116"/>
      <c r="E3" s="116"/>
      <c r="F3" s="61"/>
    </row>
    <row r="4" spans="1:6" x14ac:dyDescent="0.25">
      <c r="A4" s="59"/>
      <c r="B4" s="115"/>
      <c r="C4" s="114"/>
      <c r="D4" s="117"/>
      <c r="E4" s="114"/>
      <c r="F4" s="61"/>
    </row>
    <row r="5" spans="1:6" x14ac:dyDescent="0.25">
      <c r="A5" s="59"/>
      <c r="B5" s="118" t="s">
        <v>51</v>
      </c>
      <c r="C5" s="118"/>
      <c r="D5" s="118"/>
      <c r="E5" s="118"/>
      <c r="F5" s="63"/>
    </row>
    <row r="6" spans="1:6" x14ac:dyDescent="0.25">
      <c r="A6" s="59"/>
      <c r="B6" s="114"/>
      <c r="C6" s="114"/>
      <c r="D6" s="114"/>
      <c r="E6" s="119"/>
      <c r="F6" s="65"/>
    </row>
    <row r="7" spans="1:6" x14ac:dyDescent="0.25">
      <c r="A7" s="107" t="s">
        <v>20</v>
      </c>
      <c r="B7" s="120"/>
      <c r="C7" s="120"/>
      <c r="D7" s="120"/>
      <c r="E7" s="120"/>
      <c r="F7" s="109"/>
    </row>
    <row r="8" spans="1:6" x14ac:dyDescent="0.25">
      <c r="A8" s="59"/>
      <c r="B8" s="114"/>
      <c r="C8" s="114"/>
      <c r="D8" s="114"/>
      <c r="E8" s="114"/>
      <c r="F8" s="65"/>
    </row>
    <row r="9" spans="1:6" x14ac:dyDescent="0.25">
      <c r="A9" s="59"/>
      <c r="B9" s="114"/>
      <c r="C9" s="114"/>
      <c r="D9" s="114"/>
      <c r="E9" s="114"/>
      <c r="F9" s="65"/>
    </row>
    <row r="10" spans="1:6" x14ac:dyDescent="0.25">
      <c r="A10" s="110" t="s">
        <v>21</v>
      </c>
      <c r="B10" s="121"/>
      <c r="C10" s="121"/>
      <c r="D10" s="121"/>
      <c r="E10" s="121"/>
      <c r="F10" s="112"/>
    </row>
    <row r="11" spans="1:6" ht="22.5" customHeight="1" x14ac:dyDescent="0.25">
      <c r="A11" s="59"/>
      <c r="B11" s="114"/>
      <c r="C11" s="114"/>
      <c r="D11" s="114"/>
      <c r="E11" s="114"/>
      <c r="F11" s="61"/>
    </row>
    <row r="12" spans="1:6" x14ac:dyDescent="0.25">
      <c r="A12" s="59"/>
      <c r="B12" s="119" t="s">
        <v>22</v>
      </c>
      <c r="C12" s="114"/>
      <c r="D12" s="122" t="s">
        <v>65</v>
      </c>
      <c r="E12" s="122"/>
      <c r="F12" s="61"/>
    </row>
    <row r="13" spans="1:6" x14ac:dyDescent="0.25">
      <c r="A13" s="59"/>
      <c r="B13" s="123" t="s">
        <v>30</v>
      </c>
      <c r="C13" s="114"/>
      <c r="D13" s="122" t="s">
        <v>66</v>
      </c>
      <c r="E13" s="122"/>
      <c r="F13" s="61"/>
    </row>
    <row r="14" spans="1:6" x14ac:dyDescent="0.25">
      <c r="A14" s="59"/>
      <c r="B14" s="119"/>
      <c r="C14" s="114"/>
      <c r="D14" s="124"/>
      <c r="E14" s="114"/>
      <c r="F14" s="61"/>
    </row>
    <row r="15" spans="1:6" x14ac:dyDescent="0.25">
      <c r="A15" s="59"/>
      <c r="B15" s="125" t="str">
        <f>+[5]FAISMUN!B14:F14</f>
        <v>AL MES DE : MARZO DE 2026</v>
      </c>
      <c r="C15" s="125"/>
      <c r="D15" s="125"/>
      <c r="E15" s="125"/>
      <c r="F15" s="65"/>
    </row>
    <row r="16" spans="1:6" x14ac:dyDescent="0.25">
      <c r="A16" s="59"/>
      <c r="B16" s="126"/>
      <c r="C16" s="126"/>
      <c r="D16" s="126"/>
      <c r="E16" s="126"/>
      <c r="F16" s="61"/>
    </row>
    <row r="17" spans="1:9" s="71" customFormat="1" ht="28.5" customHeight="1" x14ac:dyDescent="0.25">
      <c r="A17" s="69"/>
      <c r="B17" s="17" t="s">
        <v>10</v>
      </c>
      <c r="C17" s="18" t="s">
        <v>55</v>
      </c>
      <c r="D17" s="17" t="s">
        <v>13</v>
      </c>
      <c r="E17" s="17" t="s">
        <v>14</v>
      </c>
      <c r="F17" s="70"/>
    </row>
    <row r="18" spans="1:9" ht="34.5" customHeight="1" x14ac:dyDescent="0.25">
      <c r="A18" s="59"/>
      <c r="B18" s="72">
        <v>46112</v>
      </c>
      <c r="C18" s="51" t="s">
        <v>77</v>
      </c>
      <c r="D18" s="24" t="s">
        <v>78</v>
      </c>
      <c r="E18" s="73">
        <v>1469936</v>
      </c>
      <c r="F18" s="61"/>
    </row>
    <row r="19" spans="1:9" ht="34.5" customHeight="1" x14ac:dyDescent="0.25">
      <c r="A19" s="59"/>
      <c r="B19" s="72"/>
      <c r="C19" s="51"/>
      <c r="D19" s="24"/>
      <c r="E19" s="73"/>
      <c r="F19" s="61"/>
    </row>
    <row r="20" spans="1:9" ht="34.5" customHeight="1" x14ac:dyDescent="0.25">
      <c r="A20" s="59"/>
      <c r="B20" s="72"/>
      <c r="C20" s="51"/>
      <c r="D20" s="24"/>
      <c r="E20" s="73"/>
      <c r="F20" s="61"/>
    </row>
    <row r="21" spans="1:9" ht="18" customHeight="1" x14ac:dyDescent="0.25">
      <c r="A21" s="59"/>
      <c r="B21" s="104"/>
      <c r="C21" s="104"/>
      <c r="D21" s="17" t="s">
        <v>15</v>
      </c>
      <c r="E21" s="29">
        <f>SUM(E18:E20)</f>
        <v>1469936</v>
      </c>
      <c r="F21" s="61"/>
    </row>
    <row r="22" spans="1:9" x14ac:dyDescent="0.25">
      <c r="A22" s="59"/>
      <c r="B22" s="114"/>
      <c r="C22" s="114"/>
      <c r="D22" s="114"/>
      <c r="E22" s="114"/>
      <c r="F22" s="61"/>
    </row>
    <row r="23" spans="1:9" s="75" customFormat="1" x14ac:dyDescent="0.2">
      <c r="A23" s="74"/>
      <c r="B23" s="127"/>
      <c r="C23" s="128"/>
      <c r="D23" s="129"/>
      <c r="E23" s="127"/>
      <c r="F23" s="8"/>
      <c r="G23" s="32"/>
      <c r="I23" s="76"/>
    </row>
    <row r="24" spans="1:9" s="75" customFormat="1" x14ac:dyDescent="0.2">
      <c r="A24" s="74"/>
      <c r="B24" s="127"/>
      <c r="C24" s="128"/>
      <c r="D24" s="130"/>
      <c r="E24" s="130"/>
      <c r="F24" s="77"/>
      <c r="G24" s="32"/>
      <c r="I24" s="76"/>
    </row>
    <row r="25" spans="1:9" s="75" customFormat="1" x14ac:dyDescent="0.2">
      <c r="A25" s="74"/>
      <c r="B25" s="127"/>
      <c r="C25" s="128"/>
      <c r="D25" s="130"/>
      <c r="E25" s="130"/>
      <c r="F25" s="77"/>
      <c r="G25" s="32" t="s">
        <v>4</v>
      </c>
      <c r="I25" s="76"/>
    </row>
    <row r="26" spans="1:9" s="75" customFormat="1" x14ac:dyDescent="0.2">
      <c r="A26" s="74"/>
      <c r="B26" s="127"/>
      <c r="C26" s="127"/>
      <c r="D26" s="127"/>
      <c r="E26" s="127"/>
      <c r="F26" s="32"/>
      <c r="G26" s="32"/>
      <c r="I26" s="76"/>
    </row>
    <row r="27" spans="1:9" s="75" customFormat="1" x14ac:dyDescent="0.2">
      <c r="A27" s="74"/>
      <c r="B27" s="130"/>
      <c r="C27" s="130"/>
      <c r="D27" s="130"/>
      <c r="E27" s="130"/>
      <c r="F27" s="54"/>
      <c r="G27" s="54"/>
      <c r="I27" s="76"/>
    </row>
    <row r="28" spans="1:9" s="75" customFormat="1" x14ac:dyDescent="0.2">
      <c r="A28" s="74"/>
      <c r="B28" s="127"/>
      <c r="C28" s="131"/>
      <c r="D28" s="130"/>
      <c r="E28" s="130"/>
      <c r="F28" s="77"/>
      <c r="G28" s="32"/>
      <c r="I28" s="76"/>
    </row>
    <row r="29" spans="1:9" s="75" customFormat="1" ht="28.5" customHeight="1" x14ac:dyDescent="0.2">
      <c r="A29" s="74"/>
      <c r="B29" s="127"/>
      <c r="C29" s="131"/>
      <c r="D29" s="130"/>
      <c r="E29" s="130"/>
      <c r="F29" s="77"/>
      <c r="G29" s="32"/>
      <c r="I29" s="76"/>
    </row>
    <row r="30" spans="1:9" s="76" customFormat="1" x14ac:dyDescent="0.2">
      <c r="A30" s="78"/>
      <c r="B30" s="127"/>
      <c r="C30" s="131"/>
      <c r="D30" s="130"/>
      <c r="E30" s="130"/>
      <c r="F30" s="77"/>
      <c r="G30" s="32"/>
      <c r="H30" s="75"/>
    </row>
    <row r="31" spans="1:9" s="76" customFormat="1" x14ac:dyDescent="0.2">
      <c r="A31" s="78"/>
      <c r="B31" s="127"/>
      <c r="C31" s="131"/>
      <c r="D31" s="130"/>
      <c r="E31" s="130"/>
      <c r="F31" s="77"/>
      <c r="G31" s="32"/>
      <c r="H31" s="75"/>
    </row>
    <row r="32" spans="1:9" s="76" customFormat="1" x14ac:dyDescent="0.2">
      <c r="A32" s="78"/>
      <c r="B32" s="127"/>
      <c r="C32" s="131"/>
      <c r="D32" s="130"/>
      <c r="E32" s="130"/>
      <c r="F32" s="77"/>
      <c r="G32" s="32"/>
      <c r="H32" s="75"/>
    </row>
    <row r="33" spans="1:8" s="76" customFormat="1" x14ac:dyDescent="0.2">
      <c r="A33" s="78"/>
      <c r="B33" s="127"/>
      <c r="C33" s="131"/>
      <c r="D33" s="130"/>
      <c r="E33" s="130"/>
      <c r="F33" s="77"/>
      <c r="G33" s="32"/>
      <c r="H33" s="75"/>
    </row>
    <row r="34" spans="1:8" s="76" customFormat="1" x14ac:dyDescent="0.2">
      <c r="A34" s="78"/>
      <c r="B34" s="127"/>
      <c r="C34" s="131"/>
      <c r="D34" s="130"/>
      <c r="E34" s="130"/>
      <c r="F34" s="77"/>
      <c r="G34" s="32"/>
      <c r="H34" s="75"/>
    </row>
    <row r="35" spans="1:8" s="76" customFormat="1" ht="14.25" x14ac:dyDescent="0.2">
      <c r="A35" s="78"/>
      <c r="B35" s="129"/>
      <c r="C35" s="129"/>
      <c r="D35" s="129"/>
      <c r="E35" s="129"/>
      <c r="F35" s="40"/>
      <c r="G35" s="40"/>
      <c r="H35" s="75"/>
    </row>
    <row r="36" spans="1:8" s="76" customFormat="1" x14ac:dyDescent="0.2">
      <c r="A36" s="78"/>
      <c r="B36" s="128"/>
      <c r="C36" s="132"/>
      <c r="D36" s="132"/>
      <c r="E36" s="132"/>
      <c r="F36" s="8"/>
      <c r="G36" s="8"/>
      <c r="H36" s="75"/>
    </row>
    <row r="37" spans="1:8" s="76" customFormat="1" x14ac:dyDescent="0.2">
      <c r="A37" s="78"/>
      <c r="B37" s="128"/>
      <c r="C37" s="132"/>
      <c r="D37" s="132"/>
      <c r="E37" s="132"/>
      <c r="F37" s="8"/>
      <c r="G37" s="8"/>
      <c r="H37" s="75"/>
    </row>
    <row r="38" spans="1:8" x14ac:dyDescent="0.25">
      <c r="A38" s="59"/>
      <c r="B38" s="128"/>
      <c r="C38" s="132"/>
      <c r="D38" s="132"/>
      <c r="E38" s="132"/>
      <c r="F38" s="8"/>
      <c r="G38" s="8"/>
    </row>
    <row r="39" spans="1:8" x14ac:dyDescent="0.25">
      <c r="A39" s="59"/>
      <c r="B39" s="128"/>
      <c r="C39" s="128"/>
      <c r="D39" s="128"/>
      <c r="E39" s="133"/>
      <c r="F39" s="8"/>
      <c r="G39" s="8"/>
    </row>
    <row r="40" spans="1:8" x14ac:dyDescent="0.25">
      <c r="A40" s="59"/>
      <c r="B40" s="114"/>
      <c r="C40" s="134"/>
      <c r="D40" s="134"/>
      <c r="E40" s="114"/>
      <c r="F40" s="61"/>
    </row>
    <row r="41" spans="1:8" x14ac:dyDescent="0.25">
      <c r="A41" s="59"/>
      <c r="B41" s="114"/>
      <c r="C41" s="134"/>
      <c r="D41" s="134"/>
      <c r="E41" s="114"/>
      <c r="F41" s="61"/>
    </row>
    <row r="42" spans="1:8" x14ac:dyDescent="0.25">
      <c r="A42" s="59"/>
      <c r="B42" s="114"/>
      <c r="C42" s="114"/>
      <c r="D42" s="135"/>
      <c r="E42" s="114"/>
      <c r="F42" s="61"/>
    </row>
    <row r="43" spans="1:8" ht="15.75" thickBot="1" x14ac:dyDescent="0.3">
      <c r="A43" s="81"/>
      <c r="B43" s="82"/>
      <c r="C43" s="82"/>
      <c r="D43" s="83"/>
      <c r="E43" s="82"/>
      <c r="F43" s="84"/>
    </row>
  </sheetData>
  <mergeCells count="8">
    <mergeCell ref="B15:E15"/>
    <mergeCell ref="B21:C21"/>
    <mergeCell ref="B3:E3"/>
    <mergeCell ref="B5:E5"/>
    <mergeCell ref="A7:F7"/>
    <mergeCell ref="A10:F10"/>
    <mergeCell ref="D12:E12"/>
    <mergeCell ref="D13:E13"/>
  </mergeCells>
  <pageMargins left="0.7" right="0.7" top="0.75" bottom="0.75" header="0.3" footer="0.3"/>
  <pageSetup scale="72" orientation="portrait" r:id="rId1"/>
  <colBreaks count="1" manualBreakCount="1">
    <brk id="6" max="38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view="pageBreakPreview" zoomScale="60" zoomScaleNormal="100" workbookViewId="0">
      <selection activeCell="G27" sqref="G27"/>
    </sheetView>
  </sheetViews>
  <sheetFormatPr baseColWidth="10" defaultRowHeight="15" x14ac:dyDescent="0.25"/>
  <cols>
    <col min="1" max="1" width="2.5703125" customWidth="1"/>
    <col min="2" max="2" width="21.140625" customWidth="1"/>
    <col min="3" max="3" width="23.5703125" customWidth="1"/>
    <col min="4" max="4" width="49.5703125" customWidth="1"/>
    <col min="5" max="5" width="18" customWidth="1"/>
    <col min="6" max="6" width="4.140625" customWidth="1"/>
    <col min="7" max="7" width="30.5703125" customWidth="1"/>
  </cols>
  <sheetData>
    <row r="1" spans="1:6" x14ac:dyDescent="0.25">
      <c r="A1" s="55"/>
      <c r="B1" s="56"/>
      <c r="C1" s="56"/>
      <c r="D1" s="56"/>
      <c r="E1" s="57" t="s">
        <v>0</v>
      </c>
      <c r="F1" s="58"/>
    </row>
    <row r="2" spans="1:6" x14ac:dyDescent="0.25">
      <c r="A2" s="59"/>
      <c r="B2" s="114"/>
      <c r="C2" s="114"/>
      <c r="D2" s="115"/>
      <c r="E2" s="114"/>
      <c r="F2" s="61"/>
    </row>
    <row r="3" spans="1:6" ht="15.75" x14ac:dyDescent="0.25">
      <c r="A3" s="59"/>
      <c r="B3" s="116" t="s">
        <v>1</v>
      </c>
      <c r="C3" s="116"/>
      <c r="D3" s="116"/>
      <c r="E3" s="116"/>
      <c r="F3" s="61"/>
    </row>
    <row r="4" spans="1:6" x14ac:dyDescent="0.25">
      <c r="A4" s="59"/>
      <c r="B4" s="115"/>
      <c r="C4" s="114"/>
      <c r="D4" s="117"/>
      <c r="E4" s="114"/>
      <c r="F4" s="61"/>
    </row>
    <row r="5" spans="1:6" x14ac:dyDescent="0.25">
      <c r="A5" s="59"/>
      <c r="B5" s="118" t="s">
        <v>51</v>
      </c>
      <c r="C5" s="118"/>
      <c r="D5" s="118"/>
      <c r="E5" s="118"/>
      <c r="F5" s="63"/>
    </row>
    <row r="6" spans="1:6" x14ac:dyDescent="0.25">
      <c r="A6" s="59"/>
      <c r="B6" s="114"/>
      <c r="C6" s="114"/>
      <c r="D6" s="114"/>
      <c r="E6" s="119"/>
      <c r="F6" s="65"/>
    </row>
    <row r="7" spans="1:6" x14ac:dyDescent="0.25">
      <c r="A7" s="107" t="s">
        <v>67</v>
      </c>
      <c r="B7" s="120"/>
      <c r="C7" s="120"/>
      <c r="D7" s="120"/>
      <c r="E7" s="120"/>
      <c r="F7" s="109"/>
    </row>
    <row r="8" spans="1:6" x14ac:dyDescent="0.25">
      <c r="A8" s="59"/>
      <c r="B8" s="114"/>
      <c r="C8" s="114"/>
      <c r="D8" s="114"/>
      <c r="E8" s="114"/>
      <c r="F8" s="65"/>
    </row>
    <row r="9" spans="1:6" x14ac:dyDescent="0.25">
      <c r="A9" s="59"/>
      <c r="B9" s="114"/>
      <c r="C9" s="114"/>
      <c r="D9" s="114"/>
      <c r="E9" s="114"/>
      <c r="F9" s="65"/>
    </row>
    <row r="10" spans="1:6" x14ac:dyDescent="0.25">
      <c r="A10" s="110" t="s">
        <v>37</v>
      </c>
      <c r="B10" s="121"/>
      <c r="C10" s="121"/>
      <c r="D10" s="121"/>
      <c r="E10" s="121"/>
      <c r="F10" s="112"/>
    </row>
    <row r="11" spans="1:6" ht="22.5" customHeight="1" x14ac:dyDescent="0.25">
      <c r="A11" s="59"/>
      <c r="B11" s="114"/>
      <c r="C11" s="114"/>
      <c r="D11" s="114"/>
      <c r="E11" s="114"/>
      <c r="F11" s="61"/>
    </row>
    <row r="12" spans="1:6" x14ac:dyDescent="0.25">
      <c r="A12" s="59"/>
      <c r="B12" s="119" t="s">
        <v>68</v>
      </c>
      <c r="C12" s="114"/>
      <c r="D12" s="122" t="s">
        <v>69</v>
      </c>
      <c r="E12" s="122"/>
      <c r="F12" s="61"/>
    </row>
    <row r="13" spans="1:6" x14ac:dyDescent="0.25">
      <c r="A13" s="59"/>
      <c r="B13" s="123" t="s">
        <v>30</v>
      </c>
      <c r="C13" s="114"/>
      <c r="D13" s="122" t="s">
        <v>70</v>
      </c>
      <c r="E13" s="122"/>
      <c r="F13" s="61"/>
    </row>
    <row r="14" spans="1:6" x14ac:dyDescent="0.25">
      <c r="A14" s="59"/>
      <c r="B14" s="119"/>
      <c r="C14" s="114"/>
      <c r="D14" s="124"/>
      <c r="E14" s="114"/>
      <c r="F14" s="61"/>
    </row>
    <row r="15" spans="1:6" x14ac:dyDescent="0.25">
      <c r="A15" s="59"/>
      <c r="B15" s="125" t="str">
        <f>+[6]FORTAMUN!B14:F14</f>
        <v>AL MES DE : MARZO DE 2026</v>
      </c>
      <c r="C15" s="125"/>
      <c r="D15" s="125"/>
      <c r="E15" s="125"/>
      <c r="F15" s="65"/>
    </row>
    <row r="16" spans="1:6" x14ac:dyDescent="0.25">
      <c r="A16" s="59"/>
      <c r="B16" s="126"/>
      <c r="C16" s="126"/>
      <c r="D16" s="126"/>
      <c r="E16" s="126"/>
      <c r="F16" s="61"/>
    </row>
    <row r="17" spans="1:9" s="71" customFormat="1" ht="28.5" customHeight="1" x14ac:dyDescent="0.25">
      <c r="A17" s="69"/>
      <c r="B17" s="17" t="s">
        <v>10</v>
      </c>
      <c r="C17" s="18" t="s">
        <v>55</v>
      </c>
      <c r="D17" s="17" t="s">
        <v>13</v>
      </c>
      <c r="E17" s="17" t="s">
        <v>14</v>
      </c>
      <c r="F17" s="70"/>
      <c r="G17" s="85"/>
    </row>
    <row r="18" spans="1:9" ht="34.5" customHeight="1" x14ac:dyDescent="0.25">
      <c r="A18" s="59"/>
      <c r="B18" s="72">
        <v>46112</v>
      </c>
      <c r="C18" s="51" t="s">
        <v>77</v>
      </c>
      <c r="D18" s="24" t="s">
        <v>79</v>
      </c>
      <c r="E18" s="73">
        <v>839953</v>
      </c>
      <c r="F18" s="61"/>
    </row>
    <row r="19" spans="1:9" ht="34.5" customHeight="1" x14ac:dyDescent="0.25">
      <c r="A19" s="59"/>
      <c r="B19" s="72"/>
      <c r="C19" s="51"/>
      <c r="D19" s="24"/>
      <c r="E19" s="73"/>
      <c r="F19" s="61"/>
    </row>
    <row r="20" spans="1:9" ht="34.5" customHeight="1" x14ac:dyDescent="0.25">
      <c r="A20" s="59"/>
      <c r="B20" s="72"/>
      <c r="C20" s="51"/>
      <c r="D20" s="24"/>
      <c r="E20" s="73"/>
      <c r="F20" s="61"/>
    </row>
    <row r="21" spans="1:9" ht="18" customHeight="1" x14ac:dyDescent="0.25">
      <c r="A21" s="59"/>
      <c r="B21" s="104"/>
      <c r="C21" s="104"/>
      <c r="D21" s="17" t="s">
        <v>15</v>
      </c>
      <c r="E21" s="29">
        <f>SUM(E18:E20)</f>
        <v>839953</v>
      </c>
      <c r="F21" s="61"/>
    </row>
    <row r="22" spans="1:9" x14ac:dyDescent="0.25">
      <c r="A22" s="59"/>
      <c r="B22" s="114"/>
      <c r="C22" s="114"/>
      <c r="D22" s="114"/>
      <c r="E22" s="114"/>
      <c r="F22" s="61"/>
    </row>
    <row r="23" spans="1:9" s="75" customFormat="1" x14ac:dyDescent="0.2">
      <c r="A23" s="74"/>
      <c r="B23" s="127"/>
      <c r="C23" s="128"/>
      <c r="D23" s="129"/>
      <c r="E23" s="127"/>
      <c r="F23" s="8"/>
      <c r="G23" s="127"/>
      <c r="H23" s="136"/>
      <c r="I23" s="76"/>
    </row>
    <row r="24" spans="1:9" s="75" customFormat="1" x14ac:dyDescent="0.2">
      <c r="A24" s="74"/>
      <c r="B24" s="127"/>
      <c r="C24" s="128"/>
      <c r="D24" s="130"/>
      <c r="E24" s="130"/>
      <c r="F24" s="77"/>
      <c r="G24" s="127"/>
      <c r="H24" s="136"/>
      <c r="I24" s="76"/>
    </row>
    <row r="25" spans="1:9" s="75" customFormat="1" x14ac:dyDescent="0.2">
      <c r="A25" s="74"/>
      <c r="B25" s="127"/>
      <c r="C25" s="128"/>
      <c r="D25" s="130"/>
      <c r="E25" s="130"/>
      <c r="F25" s="77"/>
      <c r="G25" s="127"/>
      <c r="H25" s="136"/>
      <c r="I25" s="76"/>
    </row>
    <row r="26" spans="1:9" s="75" customFormat="1" x14ac:dyDescent="0.2">
      <c r="A26" s="74"/>
      <c r="B26" s="127"/>
      <c r="C26" s="127"/>
      <c r="D26" s="127"/>
      <c r="E26" s="127"/>
      <c r="F26" s="32"/>
      <c r="G26" s="127"/>
      <c r="H26" s="136"/>
      <c r="I26" s="76"/>
    </row>
    <row r="27" spans="1:9" s="75" customFormat="1" x14ac:dyDescent="0.2">
      <c r="A27" s="74"/>
      <c r="B27" s="130"/>
      <c r="C27" s="130"/>
      <c r="D27" s="130"/>
      <c r="E27" s="130"/>
      <c r="F27" s="54"/>
      <c r="G27" s="130"/>
      <c r="H27" s="136"/>
      <c r="I27" s="76"/>
    </row>
    <row r="28" spans="1:9" s="75" customFormat="1" x14ac:dyDescent="0.2">
      <c r="A28" s="74"/>
      <c r="B28" s="127"/>
      <c r="C28" s="131"/>
      <c r="D28" s="130"/>
      <c r="E28" s="130"/>
      <c r="F28" s="77"/>
      <c r="G28" s="127"/>
      <c r="H28" s="136"/>
      <c r="I28" s="76"/>
    </row>
    <row r="29" spans="1:9" s="75" customFormat="1" ht="28.5" customHeight="1" x14ac:dyDescent="0.2">
      <c r="A29" s="74"/>
      <c r="B29" s="127"/>
      <c r="C29" s="131"/>
      <c r="D29" s="130"/>
      <c r="E29" s="130"/>
      <c r="F29" s="77"/>
      <c r="G29" s="127"/>
      <c r="H29" s="136"/>
      <c r="I29" s="76"/>
    </row>
    <row r="30" spans="1:9" s="75" customFormat="1" x14ac:dyDescent="0.2">
      <c r="A30" s="74"/>
      <c r="B30" s="127"/>
      <c r="C30" s="131"/>
      <c r="D30" s="130"/>
      <c r="E30" s="130"/>
      <c r="F30" s="77"/>
      <c r="G30" s="127"/>
      <c r="H30" s="136"/>
      <c r="I30" s="76"/>
    </row>
    <row r="31" spans="1:9" s="75" customFormat="1" x14ac:dyDescent="0.2">
      <c r="A31" s="74"/>
      <c r="B31" s="127"/>
      <c r="C31" s="131"/>
      <c r="D31" s="130"/>
      <c r="E31" s="130"/>
      <c r="F31" s="77"/>
      <c r="G31" s="127"/>
      <c r="H31" s="136"/>
      <c r="I31" s="76"/>
    </row>
    <row r="32" spans="1:9" s="75" customFormat="1" x14ac:dyDescent="0.2">
      <c r="A32" s="74"/>
      <c r="B32" s="127"/>
      <c r="C32" s="131"/>
      <c r="D32" s="130"/>
      <c r="E32" s="130"/>
      <c r="F32" s="77"/>
      <c r="G32" s="127"/>
      <c r="H32" s="136"/>
      <c r="I32" s="76"/>
    </row>
    <row r="33" spans="1:9" s="75" customFormat="1" x14ac:dyDescent="0.2">
      <c r="A33" s="74"/>
      <c r="B33" s="127"/>
      <c r="C33" s="131"/>
      <c r="D33" s="130"/>
      <c r="E33" s="130"/>
      <c r="F33" s="77"/>
      <c r="G33" s="127"/>
      <c r="H33" s="136"/>
      <c r="I33" s="76"/>
    </row>
    <row r="34" spans="1:9" s="75" customFormat="1" x14ac:dyDescent="0.2">
      <c r="A34" s="74"/>
      <c r="B34" s="127"/>
      <c r="C34" s="131"/>
      <c r="D34" s="130"/>
      <c r="E34" s="130"/>
      <c r="F34" s="77"/>
      <c r="G34" s="127"/>
      <c r="H34" s="136"/>
      <c r="I34" s="76"/>
    </row>
    <row r="35" spans="1:9" s="76" customFormat="1" x14ac:dyDescent="0.2">
      <c r="A35" s="78"/>
      <c r="B35" s="127"/>
      <c r="C35" s="131"/>
      <c r="D35" s="130"/>
      <c r="E35" s="130"/>
      <c r="F35" s="77"/>
      <c r="G35" s="127"/>
      <c r="H35" s="136"/>
    </row>
    <row r="36" spans="1:9" s="76" customFormat="1" ht="14.25" x14ac:dyDescent="0.2">
      <c r="A36" s="78"/>
      <c r="B36" s="129"/>
      <c r="C36" s="129"/>
      <c r="D36" s="129"/>
      <c r="E36" s="129"/>
      <c r="F36" s="40"/>
      <c r="G36" s="129"/>
      <c r="H36" s="136"/>
    </row>
    <row r="37" spans="1:9" s="76" customFormat="1" x14ac:dyDescent="0.2">
      <c r="A37" s="78"/>
      <c r="B37" s="128"/>
      <c r="C37" s="132"/>
      <c r="D37" s="132"/>
      <c r="E37" s="132"/>
      <c r="F37" s="8"/>
      <c r="G37" s="128"/>
      <c r="H37" s="136"/>
    </row>
    <row r="38" spans="1:9" s="76" customFormat="1" x14ac:dyDescent="0.2">
      <c r="A38" s="78"/>
      <c r="B38" s="128"/>
      <c r="C38" s="132"/>
      <c r="D38" s="132"/>
      <c r="E38" s="132"/>
      <c r="F38" s="8"/>
      <c r="G38" s="128"/>
      <c r="H38" s="136"/>
    </row>
    <row r="39" spans="1:9" x14ac:dyDescent="0.25">
      <c r="A39" s="59"/>
      <c r="B39" s="128"/>
      <c r="C39" s="132"/>
      <c r="D39" s="132"/>
      <c r="E39" s="132"/>
      <c r="F39" s="8"/>
      <c r="G39" s="128"/>
      <c r="H39" s="114"/>
    </row>
    <row r="40" spans="1:9" x14ac:dyDescent="0.25">
      <c r="A40" s="59"/>
      <c r="B40" s="128"/>
      <c r="C40" s="128"/>
      <c r="D40" s="128"/>
      <c r="E40" s="133"/>
      <c r="F40" s="8"/>
      <c r="G40" s="128"/>
      <c r="H40" s="114"/>
    </row>
    <row r="41" spans="1:9" x14ac:dyDescent="0.25">
      <c r="A41" s="59"/>
      <c r="B41" s="114"/>
      <c r="C41" s="134"/>
      <c r="D41" s="134"/>
      <c r="E41" s="114"/>
      <c r="F41" s="61"/>
      <c r="H41" s="114"/>
    </row>
    <row r="42" spans="1:9" x14ac:dyDescent="0.25">
      <c r="A42" s="59"/>
      <c r="B42" s="114"/>
      <c r="C42" s="134"/>
      <c r="D42" s="134"/>
      <c r="E42" s="114"/>
      <c r="F42" s="61"/>
      <c r="H42" s="114"/>
    </row>
    <row r="43" spans="1:9" x14ac:dyDescent="0.25">
      <c r="A43" s="59"/>
      <c r="B43" s="114"/>
      <c r="C43" s="114"/>
      <c r="D43" s="135"/>
      <c r="E43" s="114"/>
      <c r="F43" s="61"/>
      <c r="H43" s="114"/>
    </row>
    <row r="44" spans="1:9" ht="15.75" thickBot="1" x14ac:dyDescent="0.3">
      <c r="A44" s="81"/>
      <c r="B44" s="82"/>
      <c r="C44" s="82"/>
      <c r="D44" s="83"/>
      <c r="E44" s="82"/>
      <c r="F44" s="84"/>
    </row>
  </sheetData>
  <mergeCells count="8">
    <mergeCell ref="B15:E15"/>
    <mergeCell ref="B21:C21"/>
    <mergeCell ref="B3:E3"/>
    <mergeCell ref="B5:E5"/>
    <mergeCell ref="A7:F7"/>
    <mergeCell ref="A10:F10"/>
    <mergeCell ref="D12:E12"/>
    <mergeCell ref="D13:E13"/>
  </mergeCells>
  <pageMargins left="0.7" right="0.7" top="0.75" bottom="0.75" header="0.3" footer="0.3"/>
  <pageSetup scale="76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view="pageBreakPreview" zoomScaleNormal="100" zoomScaleSheetLayoutView="100" workbookViewId="0">
      <selection activeCell="I21" sqref="I21"/>
    </sheetView>
  </sheetViews>
  <sheetFormatPr baseColWidth="10" defaultRowHeight="15" x14ac:dyDescent="0.25"/>
  <cols>
    <col min="1" max="1" width="2.5703125" customWidth="1"/>
    <col min="2" max="2" width="21.140625" customWidth="1"/>
    <col min="3" max="3" width="27.85546875" bestFit="1" customWidth="1"/>
    <col min="4" max="4" width="49.5703125" customWidth="1"/>
    <col min="5" max="5" width="18" customWidth="1"/>
    <col min="6" max="6" width="4.140625" customWidth="1"/>
  </cols>
  <sheetData>
    <row r="1" spans="1:6" x14ac:dyDescent="0.25">
      <c r="A1" s="55"/>
      <c r="B1" s="56"/>
      <c r="C1" s="56"/>
      <c r="D1" s="56"/>
      <c r="E1" s="57" t="s">
        <v>0</v>
      </c>
      <c r="F1" s="58"/>
    </row>
    <row r="2" spans="1:6" x14ac:dyDescent="0.25">
      <c r="A2" s="59"/>
      <c r="B2" s="114"/>
      <c r="C2" s="114"/>
      <c r="D2" s="115"/>
      <c r="E2" s="114"/>
      <c r="F2" s="61"/>
    </row>
    <row r="3" spans="1:6" ht="15.75" x14ac:dyDescent="0.25">
      <c r="A3" s="59"/>
      <c r="B3" s="116" t="s">
        <v>1</v>
      </c>
      <c r="C3" s="116"/>
      <c r="D3" s="116"/>
      <c r="E3" s="116"/>
      <c r="F3" s="61"/>
    </row>
    <row r="4" spans="1:6" x14ac:dyDescent="0.25">
      <c r="A4" s="59"/>
      <c r="B4" s="115"/>
      <c r="C4" s="114"/>
      <c r="D4" s="117"/>
      <c r="E4" s="114"/>
      <c r="F4" s="61"/>
    </row>
    <row r="5" spans="1:6" x14ac:dyDescent="0.25">
      <c r="A5" s="59"/>
      <c r="B5" s="118" t="s">
        <v>51</v>
      </c>
      <c r="C5" s="118"/>
      <c r="D5" s="118"/>
      <c r="E5" s="118"/>
      <c r="F5" s="63"/>
    </row>
    <row r="6" spans="1:6" x14ac:dyDescent="0.25">
      <c r="A6" s="59"/>
      <c r="B6" s="114"/>
      <c r="C6" s="114"/>
      <c r="D6" s="114"/>
      <c r="E6" s="119"/>
      <c r="F6" s="65"/>
    </row>
    <row r="7" spans="1:6" x14ac:dyDescent="0.25">
      <c r="A7" s="107" t="s">
        <v>44</v>
      </c>
      <c r="B7" s="120"/>
      <c r="C7" s="120"/>
      <c r="D7" s="120"/>
      <c r="E7" s="120"/>
      <c r="F7" s="109"/>
    </row>
    <row r="8" spans="1:6" x14ac:dyDescent="0.25">
      <c r="A8" s="59"/>
      <c r="B8" s="114"/>
      <c r="C8" s="114"/>
      <c r="D8" s="114"/>
      <c r="E8" s="114"/>
      <c r="F8" s="65"/>
    </row>
    <row r="9" spans="1:6" x14ac:dyDescent="0.25">
      <c r="A9" s="59"/>
      <c r="B9" s="114"/>
      <c r="C9" s="114"/>
      <c r="D9" s="114"/>
      <c r="E9" s="114"/>
      <c r="F9" s="65"/>
    </row>
    <row r="10" spans="1:6" x14ac:dyDescent="0.25">
      <c r="A10" s="110" t="s">
        <v>45</v>
      </c>
      <c r="B10" s="121"/>
      <c r="C10" s="121"/>
      <c r="D10" s="121"/>
      <c r="E10" s="121"/>
      <c r="F10" s="112"/>
    </row>
    <row r="11" spans="1:6" ht="22.5" customHeight="1" x14ac:dyDescent="0.25">
      <c r="A11" s="59"/>
      <c r="B11" s="114"/>
      <c r="C11" s="114"/>
      <c r="D11" s="114"/>
      <c r="E11" s="114"/>
      <c r="F11" s="61"/>
    </row>
    <row r="12" spans="1:6" x14ac:dyDescent="0.25">
      <c r="A12" s="59"/>
      <c r="B12" s="119" t="s">
        <v>71</v>
      </c>
      <c r="C12" s="114"/>
      <c r="D12" s="122" t="s">
        <v>72</v>
      </c>
      <c r="E12" s="122"/>
      <c r="F12" s="61"/>
    </row>
    <row r="13" spans="1:6" x14ac:dyDescent="0.25">
      <c r="A13" s="59"/>
      <c r="B13" s="123" t="s">
        <v>30</v>
      </c>
      <c r="C13" s="114"/>
      <c r="D13" s="122" t="s">
        <v>70</v>
      </c>
      <c r="E13" s="122"/>
      <c r="F13" s="61"/>
    </row>
    <row r="14" spans="1:6" x14ac:dyDescent="0.25">
      <c r="A14" s="59"/>
      <c r="B14" s="119"/>
      <c r="C14" s="114"/>
      <c r="D14" s="124"/>
      <c r="E14" s="114"/>
      <c r="F14" s="61"/>
    </row>
    <row r="15" spans="1:6" x14ac:dyDescent="0.25">
      <c r="A15" s="59"/>
      <c r="B15" s="125" t="str">
        <f>+[7]PARTICIPACIONES!B14:F14</f>
        <v>AL MES DE : MARZO DE 2026</v>
      </c>
      <c r="C15" s="125"/>
      <c r="D15" s="125"/>
      <c r="E15" s="125"/>
      <c r="F15" s="65"/>
    </row>
    <row r="16" spans="1:6" x14ac:dyDescent="0.25">
      <c r="A16" s="59"/>
      <c r="B16" s="126"/>
      <c r="C16" s="126"/>
      <c r="D16" s="126"/>
      <c r="E16" s="126"/>
      <c r="F16" s="61"/>
    </row>
    <row r="17" spans="1:9" s="71" customFormat="1" ht="28.5" customHeight="1" x14ac:dyDescent="0.25">
      <c r="A17" s="69"/>
      <c r="B17" s="17" t="s">
        <v>10</v>
      </c>
      <c r="C17" s="18" t="s">
        <v>55</v>
      </c>
      <c r="D17" s="17" t="s">
        <v>13</v>
      </c>
      <c r="E17" s="17" t="s">
        <v>14</v>
      </c>
      <c r="F17" s="70"/>
    </row>
    <row r="18" spans="1:9" ht="34.5" customHeight="1" x14ac:dyDescent="0.25">
      <c r="A18" s="59"/>
      <c r="B18" s="72">
        <v>46112</v>
      </c>
      <c r="C18" s="51" t="s">
        <v>80</v>
      </c>
      <c r="D18" s="24" t="s">
        <v>81</v>
      </c>
      <c r="E18" s="73">
        <v>14570.48</v>
      </c>
      <c r="F18" s="61"/>
    </row>
    <row r="19" spans="1:9" ht="34.5" customHeight="1" x14ac:dyDescent="0.25">
      <c r="A19" s="59"/>
      <c r="B19" s="72">
        <v>46112</v>
      </c>
      <c r="C19" s="51" t="s">
        <v>80</v>
      </c>
      <c r="D19" s="137" t="s">
        <v>82</v>
      </c>
      <c r="E19" s="73">
        <v>337480.84</v>
      </c>
      <c r="F19" s="61"/>
    </row>
    <row r="20" spans="1:9" ht="34.5" customHeight="1" x14ac:dyDescent="0.25">
      <c r="A20" s="59"/>
      <c r="B20" s="72">
        <v>46112</v>
      </c>
      <c r="C20" s="51" t="s">
        <v>80</v>
      </c>
      <c r="D20" s="24" t="s">
        <v>83</v>
      </c>
      <c r="E20" s="73">
        <v>13591.32</v>
      </c>
      <c r="F20" s="61"/>
    </row>
    <row r="21" spans="1:9" ht="34.5" customHeight="1" x14ac:dyDescent="0.25">
      <c r="A21" s="59"/>
      <c r="B21" s="72">
        <v>46112</v>
      </c>
      <c r="C21" s="51" t="s">
        <v>80</v>
      </c>
      <c r="D21" s="24" t="s">
        <v>84</v>
      </c>
      <c r="E21" s="73">
        <v>34932</v>
      </c>
      <c r="F21" s="61"/>
    </row>
    <row r="22" spans="1:9" ht="34.5" customHeight="1" x14ac:dyDescent="0.25">
      <c r="A22" s="59"/>
      <c r="B22" s="72"/>
      <c r="C22" s="51"/>
      <c r="D22" s="24"/>
      <c r="E22" s="73"/>
      <c r="F22" s="61"/>
    </row>
    <row r="23" spans="1:9" ht="18" customHeight="1" x14ac:dyDescent="0.25">
      <c r="A23" s="59"/>
      <c r="B23" s="104"/>
      <c r="C23" s="104"/>
      <c r="D23" s="17" t="s">
        <v>15</v>
      </c>
      <c r="E23" s="29">
        <f>SUM(E18:E22)</f>
        <v>400574.64</v>
      </c>
      <c r="F23" s="61"/>
    </row>
    <row r="24" spans="1:9" x14ac:dyDescent="0.25">
      <c r="A24" s="59"/>
      <c r="B24" s="114"/>
      <c r="C24" s="114"/>
      <c r="D24" s="114"/>
      <c r="E24" s="114"/>
      <c r="F24" s="61"/>
    </row>
    <row r="25" spans="1:9" s="75" customFormat="1" x14ac:dyDescent="0.2">
      <c r="A25" s="74"/>
      <c r="B25" s="127"/>
      <c r="C25" s="138"/>
      <c r="D25" s="129"/>
      <c r="E25" s="127"/>
      <c r="F25" s="8"/>
      <c r="G25" s="127"/>
      <c r="H25" s="86"/>
      <c r="I25" s="136"/>
    </row>
    <row r="26" spans="1:9" s="75" customFormat="1" x14ac:dyDescent="0.2">
      <c r="A26" s="74"/>
      <c r="B26" s="127"/>
      <c r="C26" s="128"/>
      <c r="D26" s="130"/>
      <c r="E26" s="130"/>
      <c r="F26" s="77"/>
      <c r="G26" s="127"/>
      <c r="H26" s="86"/>
      <c r="I26" s="136"/>
    </row>
    <row r="27" spans="1:9" s="75" customFormat="1" x14ac:dyDescent="0.2">
      <c r="A27" s="74"/>
      <c r="B27" s="127"/>
      <c r="C27" s="128"/>
      <c r="D27" s="130"/>
      <c r="E27" s="130"/>
      <c r="F27" s="77"/>
      <c r="G27" s="127"/>
      <c r="H27" s="86"/>
      <c r="I27" s="136"/>
    </row>
    <row r="28" spans="1:9" s="75" customFormat="1" x14ac:dyDescent="0.2">
      <c r="A28" s="74"/>
      <c r="B28" s="127"/>
      <c r="C28" s="127"/>
      <c r="D28" s="127"/>
      <c r="E28" s="127"/>
      <c r="F28" s="32"/>
      <c r="G28" s="127"/>
      <c r="H28" s="86"/>
      <c r="I28" s="136"/>
    </row>
    <row r="29" spans="1:9" s="75" customFormat="1" x14ac:dyDescent="0.2">
      <c r="A29" s="74"/>
      <c r="B29" s="130"/>
      <c r="C29" s="130"/>
      <c r="D29" s="130"/>
      <c r="E29" s="130"/>
      <c r="F29" s="54"/>
      <c r="G29" s="130"/>
      <c r="H29" s="86"/>
      <c r="I29" s="136"/>
    </row>
    <row r="30" spans="1:9" s="75" customFormat="1" x14ac:dyDescent="0.2">
      <c r="A30" s="74"/>
      <c r="B30" s="127"/>
      <c r="C30" s="131"/>
      <c r="D30" s="130"/>
      <c r="E30" s="130"/>
      <c r="F30" s="77"/>
      <c r="G30" s="127"/>
      <c r="H30" s="86"/>
      <c r="I30" s="136"/>
    </row>
    <row r="31" spans="1:9" s="75" customFormat="1" ht="28.5" customHeight="1" x14ac:dyDescent="0.2">
      <c r="A31" s="74"/>
      <c r="B31" s="127"/>
      <c r="C31" s="131"/>
      <c r="D31" s="130"/>
      <c r="E31" s="130"/>
      <c r="F31" s="77"/>
      <c r="G31" s="127"/>
      <c r="H31" s="86"/>
      <c r="I31" s="136"/>
    </row>
    <row r="32" spans="1:9" s="76" customFormat="1" x14ac:dyDescent="0.2">
      <c r="A32" s="78"/>
      <c r="B32" s="127"/>
      <c r="C32" s="131"/>
      <c r="D32" s="130"/>
      <c r="E32" s="130"/>
      <c r="F32" s="77"/>
      <c r="G32" s="127"/>
      <c r="H32" s="86"/>
      <c r="I32" s="86"/>
    </row>
    <row r="33" spans="1:9" s="76" customFormat="1" x14ac:dyDescent="0.2">
      <c r="A33" s="78"/>
      <c r="B33" s="127"/>
      <c r="C33" s="131"/>
      <c r="D33" s="130"/>
      <c r="E33" s="130"/>
      <c r="F33" s="77"/>
      <c r="G33" s="127"/>
      <c r="H33" s="86"/>
      <c r="I33" s="86"/>
    </row>
    <row r="34" spans="1:9" s="76" customFormat="1" x14ac:dyDescent="0.2">
      <c r="A34" s="78"/>
      <c r="B34" s="127"/>
      <c r="C34" s="131"/>
      <c r="D34" s="130"/>
      <c r="E34" s="130"/>
      <c r="F34" s="77"/>
      <c r="G34" s="127"/>
      <c r="H34" s="86"/>
      <c r="I34" s="86"/>
    </row>
    <row r="35" spans="1:9" s="76" customFormat="1" x14ac:dyDescent="0.2">
      <c r="A35" s="78"/>
      <c r="B35" s="127"/>
      <c r="C35" s="131"/>
      <c r="D35" s="130"/>
      <c r="E35" s="130"/>
      <c r="F35" s="77"/>
      <c r="G35" s="127"/>
      <c r="H35" s="86"/>
      <c r="I35" s="86"/>
    </row>
    <row r="36" spans="1:9" s="76" customFormat="1" ht="14.25" x14ac:dyDescent="0.2">
      <c r="A36" s="78"/>
      <c r="B36" s="129"/>
      <c r="C36" s="129"/>
      <c r="D36" s="129"/>
      <c r="E36" s="129"/>
      <c r="F36" s="40"/>
      <c r="G36" s="129"/>
      <c r="H36" s="86"/>
      <c r="I36" s="86"/>
    </row>
    <row r="37" spans="1:9" s="76" customFormat="1" x14ac:dyDescent="0.2">
      <c r="A37" s="78"/>
      <c r="B37" s="128"/>
      <c r="C37" s="132"/>
      <c r="D37" s="132"/>
      <c r="E37" s="132"/>
      <c r="F37" s="8"/>
      <c r="G37" s="128"/>
      <c r="H37" s="86"/>
      <c r="I37" s="86"/>
    </row>
    <row r="38" spans="1:9" s="76" customFormat="1" x14ac:dyDescent="0.2">
      <c r="A38" s="78"/>
      <c r="B38" s="128"/>
      <c r="C38" s="132"/>
      <c r="D38" s="132"/>
      <c r="E38" s="132"/>
      <c r="F38" s="8"/>
      <c r="G38" s="128"/>
      <c r="H38" s="86"/>
      <c r="I38" s="86"/>
    </row>
    <row r="39" spans="1:9" s="76" customFormat="1" x14ac:dyDescent="0.2">
      <c r="A39" s="78"/>
      <c r="B39" s="128"/>
      <c r="C39" s="132"/>
      <c r="D39" s="132"/>
      <c r="E39" s="132"/>
      <c r="F39" s="8"/>
      <c r="G39" s="128"/>
      <c r="H39" s="86"/>
      <c r="I39" s="86"/>
    </row>
    <row r="40" spans="1:9" s="76" customFormat="1" x14ac:dyDescent="0.2">
      <c r="A40" s="78"/>
      <c r="B40" s="128"/>
      <c r="C40" s="132"/>
      <c r="D40" s="132"/>
      <c r="E40" s="132"/>
      <c r="F40" s="8"/>
      <c r="G40" s="128"/>
      <c r="H40" s="86"/>
      <c r="I40" s="86"/>
    </row>
    <row r="41" spans="1:9" s="76" customFormat="1" x14ac:dyDescent="0.2">
      <c r="A41" s="78"/>
      <c r="B41" s="128"/>
      <c r="C41" s="132"/>
      <c r="D41" s="132"/>
      <c r="E41" s="132"/>
      <c r="F41" s="8"/>
      <c r="G41" s="128"/>
      <c r="H41" s="86"/>
      <c r="I41" s="86"/>
    </row>
    <row r="42" spans="1:9" x14ac:dyDescent="0.25">
      <c r="A42" s="59"/>
      <c r="B42" s="128"/>
      <c r="C42" s="132"/>
      <c r="D42" s="132"/>
      <c r="E42" s="132"/>
      <c r="F42" s="8"/>
      <c r="G42" s="128"/>
      <c r="H42" s="114"/>
      <c r="I42" s="114"/>
    </row>
    <row r="43" spans="1:9" x14ac:dyDescent="0.25">
      <c r="A43" s="59"/>
      <c r="B43" s="128"/>
      <c r="C43" s="128"/>
      <c r="D43" s="128"/>
      <c r="E43" s="133"/>
      <c r="F43" s="8"/>
      <c r="G43" s="128"/>
      <c r="H43" s="114"/>
      <c r="I43" s="114"/>
    </row>
    <row r="44" spans="1:9" x14ac:dyDescent="0.25">
      <c r="A44" s="59"/>
      <c r="B44" s="114"/>
      <c r="C44" s="134"/>
      <c r="D44" s="134"/>
      <c r="E44" s="114"/>
      <c r="F44" s="61"/>
    </row>
    <row r="45" spans="1:9" x14ac:dyDescent="0.25">
      <c r="A45" s="59"/>
      <c r="B45" s="114"/>
      <c r="C45" s="134"/>
      <c r="D45" s="134"/>
      <c r="E45" s="114"/>
      <c r="F45" s="61"/>
    </row>
    <row r="46" spans="1:9" x14ac:dyDescent="0.25">
      <c r="A46" s="59"/>
      <c r="B46" s="114"/>
      <c r="C46" s="114"/>
      <c r="D46" s="135"/>
      <c r="E46" s="114"/>
      <c r="F46" s="61"/>
    </row>
    <row r="47" spans="1:9" ht="15.75" thickBot="1" x14ac:dyDescent="0.3">
      <c r="A47" s="81"/>
      <c r="B47" s="82"/>
      <c r="C47" s="82"/>
      <c r="D47" s="83"/>
      <c r="E47" s="82"/>
      <c r="F47" s="84"/>
    </row>
  </sheetData>
  <mergeCells count="8">
    <mergeCell ref="B23:C23"/>
    <mergeCell ref="B15:E15"/>
    <mergeCell ref="B3:E3"/>
    <mergeCell ref="B5:E5"/>
    <mergeCell ref="A7:F7"/>
    <mergeCell ref="A10:F10"/>
    <mergeCell ref="D12:E12"/>
    <mergeCell ref="D13:E13"/>
  </mergeCells>
  <pageMargins left="0.7" right="0.7" top="0.75" bottom="0.75" header="0.3" footer="0.3"/>
  <pageSetup scale="73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view="pageBreakPreview" zoomScale="66" zoomScaleNormal="100" zoomScaleSheetLayoutView="66" workbookViewId="0">
      <selection activeCell="M10" sqref="M10"/>
    </sheetView>
  </sheetViews>
  <sheetFormatPr baseColWidth="10" defaultRowHeight="15" x14ac:dyDescent="0.25"/>
  <cols>
    <col min="1" max="1" width="2.5703125" customWidth="1"/>
    <col min="2" max="2" width="21.140625" customWidth="1"/>
    <col min="3" max="3" width="23.5703125" customWidth="1"/>
    <col min="4" max="4" width="75.28515625" customWidth="1"/>
    <col min="5" max="5" width="18" customWidth="1"/>
    <col min="6" max="6" width="4.140625" customWidth="1"/>
  </cols>
  <sheetData>
    <row r="1" spans="1:6" x14ac:dyDescent="0.25">
      <c r="A1" s="55"/>
      <c r="B1" s="56"/>
      <c r="C1" s="56"/>
      <c r="D1" s="56"/>
      <c r="E1" s="57" t="s">
        <v>0</v>
      </c>
      <c r="F1" s="58"/>
    </row>
    <row r="2" spans="1:6" x14ac:dyDescent="0.25">
      <c r="A2" s="59"/>
      <c r="B2" s="114"/>
      <c r="C2" s="114"/>
      <c r="D2" s="115"/>
      <c r="E2" s="114"/>
      <c r="F2" s="61"/>
    </row>
    <row r="3" spans="1:6" ht="15.75" x14ac:dyDescent="0.25">
      <c r="A3" s="59"/>
      <c r="B3" s="116" t="s">
        <v>1</v>
      </c>
      <c r="C3" s="116"/>
      <c r="D3" s="116"/>
      <c r="E3" s="116"/>
      <c r="F3" s="61"/>
    </row>
    <row r="4" spans="1:6" x14ac:dyDescent="0.25">
      <c r="A4" s="59"/>
      <c r="B4" s="115"/>
      <c r="C4" s="114"/>
      <c r="D4" s="117"/>
      <c r="E4" s="114"/>
      <c r="F4" s="61"/>
    </row>
    <row r="5" spans="1:6" x14ac:dyDescent="0.25">
      <c r="A5" s="59"/>
      <c r="B5" s="118" t="s">
        <v>51</v>
      </c>
      <c r="C5" s="118"/>
      <c r="D5" s="118"/>
      <c r="E5" s="118"/>
      <c r="F5" s="63"/>
    </row>
    <row r="6" spans="1:6" x14ac:dyDescent="0.25">
      <c r="A6" s="59"/>
      <c r="B6" s="114"/>
      <c r="C6" s="114"/>
      <c r="D6" s="114"/>
      <c r="E6" s="119"/>
      <c r="F6" s="65"/>
    </row>
    <row r="7" spans="1:6" x14ac:dyDescent="0.25">
      <c r="A7" s="107" t="s">
        <v>73</v>
      </c>
      <c r="B7" s="120"/>
      <c r="C7" s="120"/>
      <c r="D7" s="120"/>
      <c r="E7" s="120"/>
      <c r="F7" s="109"/>
    </row>
    <row r="8" spans="1:6" x14ac:dyDescent="0.25">
      <c r="A8" s="59"/>
      <c r="B8" s="114"/>
      <c r="C8" s="114"/>
      <c r="D8" s="114"/>
      <c r="E8" s="114"/>
      <c r="F8" s="65"/>
    </row>
    <row r="9" spans="1:6" x14ac:dyDescent="0.25">
      <c r="A9" s="59"/>
      <c r="B9" s="114"/>
      <c r="C9" s="114"/>
      <c r="D9" s="114"/>
      <c r="E9" s="114"/>
      <c r="F9" s="65"/>
    </row>
    <row r="10" spans="1:6" x14ac:dyDescent="0.25">
      <c r="A10" s="110" t="s">
        <v>27</v>
      </c>
      <c r="B10" s="121"/>
      <c r="C10" s="121"/>
      <c r="D10" s="121"/>
      <c r="E10" s="121"/>
      <c r="F10" s="112"/>
    </row>
    <row r="11" spans="1:6" ht="22.5" customHeight="1" x14ac:dyDescent="0.25">
      <c r="A11" s="59"/>
      <c r="B11" s="114"/>
      <c r="C11" s="114"/>
      <c r="D11" s="114"/>
      <c r="E11" s="114"/>
      <c r="F11" s="61"/>
    </row>
    <row r="12" spans="1:6" x14ac:dyDescent="0.25">
      <c r="A12" s="59"/>
      <c r="B12" s="119" t="s">
        <v>74</v>
      </c>
      <c r="C12" s="114"/>
      <c r="D12" s="122" t="s">
        <v>75</v>
      </c>
      <c r="E12" s="122"/>
      <c r="F12" s="61"/>
    </row>
    <row r="13" spans="1:6" x14ac:dyDescent="0.25">
      <c r="A13" s="59"/>
      <c r="B13" s="123" t="s">
        <v>30</v>
      </c>
      <c r="C13" s="114"/>
      <c r="D13" s="122" t="s">
        <v>70</v>
      </c>
      <c r="E13" s="122"/>
      <c r="F13" s="61"/>
    </row>
    <row r="14" spans="1:6" x14ac:dyDescent="0.25">
      <c r="A14" s="59"/>
      <c r="B14" s="119"/>
      <c r="C14" s="114"/>
      <c r="D14" s="124"/>
      <c r="E14" s="114"/>
      <c r="F14" s="61"/>
    </row>
    <row r="15" spans="1:6" x14ac:dyDescent="0.25">
      <c r="A15" s="59"/>
      <c r="B15" s="125" t="str">
        <f>+[8]CHEQUES!B14:F14</f>
        <v>AL MES DE : MARZO DE 2026</v>
      </c>
      <c r="C15" s="125"/>
      <c r="D15" s="125"/>
      <c r="E15" s="125"/>
      <c r="F15" s="65"/>
    </row>
    <row r="16" spans="1:6" x14ac:dyDescent="0.25">
      <c r="A16" s="59"/>
      <c r="B16" s="126"/>
      <c r="C16" s="126"/>
      <c r="D16" s="126"/>
      <c r="E16" s="126"/>
      <c r="F16" s="61"/>
    </row>
    <row r="17" spans="1:6" s="71" customFormat="1" ht="28.5" customHeight="1" x14ac:dyDescent="0.25">
      <c r="A17" s="69"/>
      <c r="B17" s="17" t="s">
        <v>10</v>
      </c>
      <c r="C17" s="18" t="s">
        <v>55</v>
      </c>
      <c r="D17" s="17" t="s">
        <v>13</v>
      </c>
      <c r="E17" s="17" t="s">
        <v>14</v>
      </c>
      <c r="F17" s="70"/>
    </row>
    <row r="18" spans="1:6" ht="27" customHeight="1" x14ac:dyDescent="0.25">
      <c r="A18" s="59"/>
      <c r="B18" s="72" t="s">
        <v>85</v>
      </c>
      <c r="C18" s="51">
        <v>326</v>
      </c>
      <c r="D18" s="24" t="s">
        <v>86</v>
      </c>
      <c r="E18" s="73">
        <v>10380.24</v>
      </c>
      <c r="F18" s="61"/>
    </row>
    <row r="19" spans="1:6" ht="27" customHeight="1" x14ac:dyDescent="0.25">
      <c r="A19" s="59"/>
      <c r="B19" s="72" t="s">
        <v>85</v>
      </c>
      <c r="C19" s="51">
        <v>326</v>
      </c>
      <c r="D19" s="24" t="s">
        <v>87</v>
      </c>
      <c r="E19" s="73">
        <v>7339.25</v>
      </c>
      <c r="F19" s="61"/>
    </row>
    <row r="20" spans="1:6" ht="27" customHeight="1" x14ac:dyDescent="0.25">
      <c r="A20" s="59"/>
      <c r="B20" s="72" t="s">
        <v>85</v>
      </c>
      <c r="C20" s="51">
        <v>326</v>
      </c>
      <c r="D20" s="24" t="s">
        <v>88</v>
      </c>
      <c r="E20" s="73">
        <v>21656.560000000001</v>
      </c>
      <c r="F20" s="61"/>
    </row>
    <row r="21" spans="1:6" ht="27" customHeight="1" x14ac:dyDescent="0.25">
      <c r="A21" s="59"/>
      <c r="B21" s="72" t="s">
        <v>85</v>
      </c>
      <c r="C21" s="51">
        <v>326</v>
      </c>
      <c r="D21" s="24" t="s">
        <v>89</v>
      </c>
      <c r="E21" s="73">
        <v>4730.4399999999996</v>
      </c>
      <c r="F21" s="61"/>
    </row>
    <row r="22" spans="1:6" ht="27" customHeight="1" x14ac:dyDescent="0.25">
      <c r="A22" s="59"/>
      <c r="B22" s="72" t="s">
        <v>85</v>
      </c>
      <c r="C22" s="51">
        <v>326</v>
      </c>
      <c r="D22" s="24" t="s">
        <v>90</v>
      </c>
      <c r="E22" s="73">
        <v>8070.35</v>
      </c>
      <c r="F22" s="61"/>
    </row>
    <row r="23" spans="1:6" ht="27" customHeight="1" x14ac:dyDescent="0.25">
      <c r="A23" s="59"/>
      <c r="B23" s="72" t="s">
        <v>85</v>
      </c>
      <c r="C23" s="51">
        <v>326</v>
      </c>
      <c r="D23" s="24" t="s">
        <v>91</v>
      </c>
      <c r="E23" s="73">
        <v>6100.12</v>
      </c>
      <c r="F23" s="61"/>
    </row>
    <row r="24" spans="1:6" ht="27" customHeight="1" x14ac:dyDescent="0.25">
      <c r="A24" s="59"/>
      <c r="B24" s="72" t="s">
        <v>85</v>
      </c>
      <c r="C24" s="51">
        <v>326</v>
      </c>
      <c r="D24" s="24" t="s">
        <v>92</v>
      </c>
      <c r="E24" s="73">
        <v>7417.14</v>
      </c>
      <c r="F24" s="61"/>
    </row>
    <row r="25" spans="1:6" ht="27" customHeight="1" x14ac:dyDescent="0.25">
      <c r="A25" s="59"/>
      <c r="B25" s="72" t="s">
        <v>85</v>
      </c>
      <c r="C25" s="51">
        <v>326</v>
      </c>
      <c r="D25" s="24" t="s">
        <v>93</v>
      </c>
      <c r="E25" s="73">
        <v>2763.14</v>
      </c>
      <c r="F25" s="61"/>
    </row>
    <row r="26" spans="1:6" ht="27" customHeight="1" x14ac:dyDescent="0.25">
      <c r="A26" s="59"/>
      <c r="B26" s="72" t="s">
        <v>85</v>
      </c>
      <c r="C26" s="51">
        <v>326</v>
      </c>
      <c r="D26" s="24" t="s">
        <v>94</v>
      </c>
      <c r="E26" s="73">
        <v>3149.6</v>
      </c>
      <c r="F26" s="61"/>
    </row>
    <row r="27" spans="1:6" ht="27" customHeight="1" x14ac:dyDescent="0.25">
      <c r="A27" s="59"/>
      <c r="B27" s="72" t="s">
        <v>85</v>
      </c>
      <c r="C27" s="51">
        <v>326</v>
      </c>
      <c r="D27" s="24" t="s">
        <v>95</v>
      </c>
      <c r="E27" s="73">
        <v>7159.05</v>
      </c>
      <c r="F27" s="61"/>
    </row>
    <row r="28" spans="1:6" ht="27" customHeight="1" x14ac:dyDescent="0.25">
      <c r="A28" s="59"/>
      <c r="B28" s="72" t="s">
        <v>85</v>
      </c>
      <c r="C28" s="51">
        <v>326</v>
      </c>
      <c r="D28" s="24" t="s">
        <v>96</v>
      </c>
      <c r="E28" s="73">
        <v>12323.76</v>
      </c>
      <c r="F28" s="61"/>
    </row>
    <row r="29" spans="1:6" ht="27" customHeight="1" x14ac:dyDescent="0.25">
      <c r="A29" s="59"/>
      <c r="B29" s="72" t="s">
        <v>85</v>
      </c>
      <c r="C29" s="51">
        <v>326</v>
      </c>
      <c r="D29" s="24" t="s">
        <v>97</v>
      </c>
      <c r="E29" s="73">
        <v>6022.32</v>
      </c>
      <c r="F29" s="61"/>
    </row>
    <row r="30" spans="1:6" ht="27" customHeight="1" x14ac:dyDescent="0.25">
      <c r="A30" s="59"/>
      <c r="B30" s="72" t="s">
        <v>85</v>
      </c>
      <c r="C30" s="51">
        <v>326</v>
      </c>
      <c r="D30" s="24" t="s">
        <v>98</v>
      </c>
      <c r="E30" s="73">
        <v>15703</v>
      </c>
      <c r="F30" s="61"/>
    </row>
    <row r="31" spans="1:6" ht="27" customHeight="1" x14ac:dyDescent="0.25">
      <c r="A31" s="59"/>
      <c r="B31" s="72" t="s">
        <v>85</v>
      </c>
      <c r="C31" s="51">
        <v>326</v>
      </c>
      <c r="D31" s="24" t="s">
        <v>99</v>
      </c>
      <c r="E31" s="73">
        <v>7945.31</v>
      </c>
      <c r="F31" s="61"/>
    </row>
    <row r="32" spans="1:6" ht="27" customHeight="1" x14ac:dyDescent="0.25">
      <c r="A32" s="59"/>
      <c r="B32" s="72" t="s">
        <v>85</v>
      </c>
      <c r="C32" s="51">
        <v>326</v>
      </c>
      <c r="D32" s="24" t="s">
        <v>100</v>
      </c>
      <c r="E32" s="73">
        <v>3101.45</v>
      </c>
      <c r="F32" s="61"/>
    </row>
    <row r="33" spans="1:9" ht="27" customHeight="1" x14ac:dyDescent="0.25">
      <c r="A33" s="59"/>
      <c r="B33" s="72" t="s">
        <v>85</v>
      </c>
      <c r="C33" s="51">
        <v>326</v>
      </c>
      <c r="D33" s="24" t="s">
        <v>101</v>
      </c>
      <c r="E33" s="73">
        <v>3814.17</v>
      </c>
      <c r="F33" s="61"/>
    </row>
    <row r="34" spans="1:9" ht="27" customHeight="1" x14ac:dyDescent="0.25">
      <c r="A34" s="59"/>
      <c r="B34" s="72" t="s">
        <v>85</v>
      </c>
      <c r="C34" s="51">
        <v>326</v>
      </c>
      <c r="D34" s="24" t="s">
        <v>102</v>
      </c>
      <c r="E34" s="73">
        <v>1849.44</v>
      </c>
      <c r="F34" s="61"/>
    </row>
    <row r="35" spans="1:9" ht="27" customHeight="1" x14ac:dyDescent="0.25">
      <c r="A35" s="59"/>
      <c r="B35" s="72" t="s">
        <v>85</v>
      </c>
      <c r="C35" s="51">
        <v>326</v>
      </c>
      <c r="D35" s="24" t="s">
        <v>103</v>
      </c>
      <c r="E35" s="73">
        <v>2731.88</v>
      </c>
      <c r="F35" s="61"/>
    </row>
    <row r="36" spans="1:9" ht="27" customHeight="1" x14ac:dyDescent="0.25">
      <c r="A36" s="59"/>
      <c r="B36" s="72">
        <v>46112</v>
      </c>
      <c r="C36" s="51">
        <v>326</v>
      </c>
      <c r="D36" s="24" t="s">
        <v>104</v>
      </c>
      <c r="E36" s="73">
        <v>5450.12</v>
      </c>
      <c r="F36" s="61"/>
    </row>
    <row r="37" spans="1:9" ht="27" customHeight="1" x14ac:dyDescent="0.25">
      <c r="A37" s="59"/>
      <c r="B37" s="72" t="s">
        <v>85</v>
      </c>
      <c r="C37" s="51">
        <v>326</v>
      </c>
      <c r="D37" s="24" t="s">
        <v>105</v>
      </c>
      <c r="E37" s="73">
        <v>17076.509999999998</v>
      </c>
      <c r="F37" s="61"/>
    </row>
    <row r="38" spans="1:9" ht="18" customHeight="1" x14ac:dyDescent="0.25">
      <c r="A38" s="59"/>
      <c r="B38" s="104"/>
      <c r="C38" s="104"/>
      <c r="D38" s="17" t="s">
        <v>15</v>
      </c>
      <c r="E38" s="29">
        <f>SUM(E18:E37)</f>
        <v>154783.85</v>
      </c>
      <c r="F38" s="61"/>
    </row>
    <row r="39" spans="1:9" x14ac:dyDescent="0.25">
      <c r="A39" s="59"/>
      <c r="B39" s="114"/>
      <c r="C39" s="114"/>
      <c r="D39" s="114"/>
      <c r="E39" s="114"/>
      <c r="F39" s="61"/>
    </row>
    <row r="40" spans="1:9" x14ac:dyDescent="0.25">
      <c r="A40" s="59"/>
      <c r="B40" s="114"/>
      <c r="C40" s="114"/>
      <c r="D40" s="114"/>
      <c r="E40" s="114"/>
      <c r="F40" s="61"/>
    </row>
    <row r="41" spans="1:9" x14ac:dyDescent="0.25">
      <c r="A41" s="59"/>
      <c r="B41" s="114"/>
      <c r="C41" s="114"/>
      <c r="D41" s="114"/>
      <c r="E41" s="114"/>
      <c r="F41" s="61"/>
    </row>
    <row r="42" spans="1:9" x14ac:dyDescent="0.25">
      <c r="A42" s="59"/>
      <c r="B42" s="114"/>
      <c r="C42" s="114"/>
      <c r="D42" s="114"/>
      <c r="E42" s="114"/>
      <c r="F42" s="61"/>
    </row>
    <row r="43" spans="1:9" x14ac:dyDescent="0.25">
      <c r="A43" s="59"/>
      <c r="B43" s="114"/>
      <c r="C43" s="114"/>
      <c r="D43" s="114"/>
      <c r="E43" s="114"/>
      <c r="F43" s="61"/>
    </row>
    <row r="44" spans="1:9" x14ac:dyDescent="0.25">
      <c r="A44" s="59"/>
      <c r="B44" s="114"/>
      <c r="C44" s="114"/>
      <c r="D44" s="114"/>
      <c r="E44" s="114"/>
      <c r="F44" s="61"/>
    </row>
    <row r="45" spans="1:9" s="75" customFormat="1" x14ac:dyDescent="0.2">
      <c r="A45" s="74"/>
      <c r="B45" s="127"/>
      <c r="C45" s="128"/>
      <c r="D45" s="129"/>
      <c r="E45" s="127"/>
      <c r="F45" s="8"/>
      <c r="G45" s="32"/>
      <c r="I45" s="76"/>
    </row>
    <row r="46" spans="1:9" s="75" customFormat="1" x14ac:dyDescent="0.2">
      <c r="A46" s="74"/>
      <c r="B46" s="127"/>
      <c r="C46" s="128"/>
      <c r="D46" s="130"/>
      <c r="E46" s="130"/>
      <c r="F46" s="77"/>
      <c r="G46" s="32"/>
      <c r="I46" s="76"/>
    </row>
    <row r="47" spans="1:9" s="75" customFormat="1" x14ac:dyDescent="0.2">
      <c r="A47" s="74"/>
      <c r="B47" s="127"/>
      <c r="C47" s="128"/>
      <c r="D47" s="130"/>
      <c r="E47" s="130"/>
      <c r="F47" s="77"/>
      <c r="G47" s="32"/>
      <c r="I47" s="76"/>
    </row>
    <row r="48" spans="1:9" s="75" customFormat="1" x14ac:dyDescent="0.2">
      <c r="A48" s="74"/>
      <c r="B48" s="127"/>
      <c r="C48" s="127"/>
      <c r="D48" s="127"/>
      <c r="E48" s="127"/>
      <c r="F48" s="32"/>
      <c r="G48" s="32"/>
      <c r="I48" s="76"/>
    </row>
    <row r="49" spans="1:9" s="75" customFormat="1" x14ac:dyDescent="0.2">
      <c r="A49" s="74"/>
      <c r="B49" s="127"/>
      <c r="C49" s="127"/>
      <c r="D49" s="127"/>
      <c r="E49" s="127"/>
      <c r="F49" s="32"/>
      <c r="G49" s="32"/>
      <c r="I49" s="76"/>
    </row>
    <row r="50" spans="1:9" s="75" customFormat="1" x14ac:dyDescent="0.2">
      <c r="A50" s="74"/>
      <c r="B50" s="127"/>
      <c r="C50" s="127"/>
      <c r="D50" s="127"/>
      <c r="E50" s="127"/>
      <c r="F50" s="32"/>
      <c r="G50" s="32"/>
      <c r="I50" s="76"/>
    </row>
    <row r="51" spans="1:9" s="75" customFormat="1" x14ac:dyDescent="0.2">
      <c r="A51" s="74"/>
      <c r="B51" s="127"/>
      <c r="C51" s="127"/>
      <c r="D51" s="127"/>
      <c r="E51" s="127"/>
      <c r="F51" s="32"/>
      <c r="G51" s="32"/>
      <c r="I51" s="76"/>
    </row>
    <row r="52" spans="1:9" s="75" customFormat="1" x14ac:dyDescent="0.2">
      <c r="A52" s="74"/>
      <c r="B52" s="127"/>
      <c r="C52" s="127"/>
      <c r="D52" s="127"/>
      <c r="E52" s="127"/>
      <c r="F52" s="32"/>
      <c r="G52" s="32"/>
      <c r="I52" s="76"/>
    </row>
    <row r="53" spans="1:9" s="75" customFormat="1" x14ac:dyDescent="0.2">
      <c r="A53" s="74"/>
      <c r="B53" s="127"/>
      <c r="C53" s="127"/>
      <c r="D53" s="127"/>
      <c r="E53" s="127"/>
      <c r="F53" s="32"/>
      <c r="G53" s="32"/>
      <c r="I53" s="76"/>
    </row>
    <row r="54" spans="1:9" s="75" customFormat="1" x14ac:dyDescent="0.2">
      <c r="A54" s="74"/>
      <c r="B54" s="127"/>
      <c r="C54" s="127"/>
      <c r="D54" s="127"/>
      <c r="E54" s="127"/>
      <c r="F54" s="32"/>
      <c r="G54" s="32"/>
      <c r="I54" s="76"/>
    </row>
    <row r="55" spans="1:9" s="75" customFormat="1" x14ac:dyDescent="0.2">
      <c r="A55" s="74"/>
      <c r="B55" s="130"/>
      <c r="C55" s="130"/>
      <c r="D55" s="130"/>
      <c r="E55" s="130"/>
      <c r="F55" s="54"/>
      <c r="G55" s="54"/>
      <c r="I55" s="76"/>
    </row>
    <row r="56" spans="1:9" s="75" customFormat="1" x14ac:dyDescent="0.2">
      <c r="A56" s="74"/>
      <c r="B56" s="127"/>
      <c r="C56" s="131"/>
      <c r="D56" s="130"/>
      <c r="E56" s="130"/>
      <c r="F56" s="77"/>
      <c r="G56" s="32"/>
      <c r="I56" s="76"/>
    </row>
    <row r="57" spans="1:9" s="75" customFormat="1" ht="28.5" customHeight="1" x14ac:dyDescent="0.2">
      <c r="A57" s="74"/>
      <c r="B57" s="127"/>
      <c r="C57" s="131"/>
      <c r="D57" s="130"/>
      <c r="E57" s="130"/>
      <c r="F57" s="77"/>
      <c r="G57" s="32"/>
      <c r="I57" s="76"/>
    </row>
    <row r="58" spans="1:9" s="76" customFormat="1" x14ac:dyDescent="0.2">
      <c r="A58" s="78"/>
      <c r="B58" s="127"/>
      <c r="C58" s="131"/>
      <c r="D58" s="130"/>
      <c r="E58" s="130"/>
      <c r="F58" s="77"/>
      <c r="G58" s="32"/>
      <c r="H58" s="75"/>
    </row>
    <row r="59" spans="1:9" s="76" customFormat="1" ht="14.25" x14ac:dyDescent="0.2">
      <c r="A59" s="78"/>
      <c r="B59" s="129"/>
      <c r="C59" s="129"/>
      <c r="D59" s="129"/>
      <c r="E59" s="129"/>
      <c r="F59" s="40"/>
      <c r="G59" s="40"/>
      <c r="H59" s="75"/>
    </row>
    <row r="60" spans="1:9" s="76" customFormat="1" x14ac:dyDescent="0.2">
      <c r="A60" s="78"/>
      <c r="B60" s="128"/>
      <c r="C60" s="132"/>
      <c r="D60" s="132"/>
      <c r="E60" s="132"/>
      <c r="F60" s="8"/>
      <c r="G60" s="8"/>
      <c r="H60" s="75"/>
    </row>
    <row r="61" spans="1:9" s="76" customFormat="1" x14ac:dyDescent="0.2">
      <c r="A61" s="78"/>
      <c r="B61" s="128"/>
      <c r="C61" s="132"/>
      <c r="D61" s="132"/>
      <c r="E61" s="132"/>
      <c r="F61" s="8"/>
      <c r="G61" s="8"/>
      <c r="H61" s="75"/>
    </row>
    <row r="62" spans="1:9" x14ac:dyDescent="0.25">
      <c r="A62" s="59"/>
      <c r="B62" s="128"/>
      <c r="C62" s="132"/>
      <c r="D62" s="132"/>
      <c r="E62" s="132"/>
      <c r="F62" s="8"/>
      <c r="G62" s="8"/>
    </row>
    <row r="63" spans="1:9" x14ac:dyDescent="0.25">
      <c r="A63" s="59"/>
      <c r="B63" s="128"/>
      <c r="C63" s="128"/>
      <c r="D63" s="128"/>
      <c r="E63" s="133"/>
      <c r="F63" s="8"/>
      <c r="G63" s="8"/>
    </row>
    <row r="64" spans="1:9" x14ac:dyDescent="0.25">
      <c r="A64" s="59"/>
      <c r="B64" s="114"/>
      <c r="C64" s="134"/>
      <c r="D64" s="134"/>
      <c r="E64" s="114"/>
      <c r="F64" s="61"/>
    </row>
    <row r="65" spans="1:6" x14ac:dyDescent="0.25">
      <c r="A65" s="59"/>
      <c r="B65" s="114"/>
      <c r="C65" s="134"/>
      <c r="D65" s="134"/>
      <c r="E65" s="114"/>
      <c r="F65" s="61"/>
    </row>
    <row r="66" spans="1:6" x14ac:dyDescent="0.25">
      <c r="A66" s="59"/>
      <c r="B66" s="114"/>
      <c r="C66" s="114"/>
      <c r="D66" s="135"/>
      <c r="E66" s="114"/>
      <c r="F66" s="61"/>
    </row>
    <row r="67" spans="1:6" ht="15.75" thickBot="1" x14ac:dyDescent="0.3">
      <c r="A67" s="81"/>
      <c r="B67" s="82"/>
      <c r="C67" s="82"/>
      <c r="D67" s="83"/>
      <c r="E67" s="82"/>
      <c r="F67" s="84"/>
    </row>
  </sheetData>
  <mergeCells count="8">
    <mergeCell ref="B38:C38"/>
    <mergeCell ref="B15:E15"/>
    <mergeCell ref="B3:E3"/>
    <mergeCell ref="B5:E5"/>
    <mergeCell ref="A7:F7"/>
    <mergeCell ref="A10:F10"/>
    <mergeCell ref="D12:E12"/>
    <mergeCell ref="D13:E13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</vt:i4>
      </vt:variant>
    </vt:vector>
  </HeadingPairs>
  <TitlesOfParts>
    <vt:vector size="18" baseType="lpstr">
      <vt:lpstr>Cheques 1.1.1.2.02.67</vt:lpstr>
      <vt:lpstr>Cheques 1.1.1.2.02.68</vt:lpstr>
      <vt:lpstr>Cheques 1.1.1.2.02.69</vt:lpstr>
      <vt:lpstr>Cheques 1.1.1.2.02.70</vt:lpstr>
      <vt:lpstr>Cheques 1.1.1.2.05.03</vt:lpstr>
      <vt:lpstr>Cheques 1.1.1.2.05.04</vt:lpstr>
      <vt:lpstr>Cheques 1.1.1.2.05.05</vt:lpstr>
      <vt:lpstr> Cheques 1.1.1.2.05.06</vt:lpstr>
      <vt:lpstr>Depositos 1.1.1.2.02.67</vt:lpstr>
      <vt:lpstr>Depositos 1.1.1.2.02.68</vt:lpstr>
      <vt:lpstr>Depositos 1.1.1.2.02.69</vt:lpstr>
      <vt:lpstr>Depositos 1.1.1.2.02.70</vt:lpstr>
      <vt:lpstr>Depositos 1.1.1.2.05.03</vt:lpstr>
      <vt:lpstr>Depositos 1.1.1.2.05.04</vt:lpstr>
      <vt:lpstr>Depositos 1.1.1.2.05.05</vt:lpstr>
      <vt:lpstr>Depositos 1.1.1.2.05.06</vt:lpstr>
      <vt:lpstr>'Depositos 1.1.1.2.05.03'!Área_de_impresión</vt:lpstr>
      <vt:lpstr>'Depositos 1.1.1.2.05.06'!Área_de_impresión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2026-02-25T02:23:59Z</dcterms:created>
  <dcterms:modified xsi:type="dcterms:W3CDTF">2026-04-21T03:06:52Z</dcterms:modified>
</cp:coreProperties>
</file>