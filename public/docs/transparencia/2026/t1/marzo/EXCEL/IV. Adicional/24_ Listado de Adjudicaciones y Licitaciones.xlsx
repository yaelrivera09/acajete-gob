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0" yWindow="0" windowWidth="15345" windowHeight="5625" tabRatio="662" firstSheet="1" activeTab="1"/>
  </bookViews>
  <sheets>
    <sheet name="PADRON DE CONTRATISTA 2020" sheetId="17" state="hidden" r:id="rId1"/>
    <sheet name="FEBRERO" sheetId="29" r:id="rId2"/>
    <sheet name="ADJUDICACIONES JULIO" sheetId="23" state="hidden" r:id="rId3"/>
    <sheet name="ADJUDICACIONES AGOSTO" sheetId="24" state="hidden" r:id="rId4"/>
    <sheet name="ADJUDICACIONES SEPTIEMBRE" sheetId="25" state="hidden" r:id="rId5"/>
    <sheet name="ADJUDICACIONES OCTUBRE" sheetId="26" state="hidden" r:id="rId6"/>
    <sheet name="ADJUDICACIONES NOVIEMBRE" sheetId="27" state="hidden" r:id="rId7"/>
    <sheet name="ADJUDICACIONES DICIEMBRE" sheetId="28" state="hidden" r:id="rId8"/>
  </sheets>
  <definedNames>
    <definedName name="_xlnm.Print_Area" localSheetId="3">'ADJUDICACIONES AGOSTO'!$A$1:$O$41</definedName>
    <definedName name="_xlnm.Print_Area" localSheetId="7">'ADJUDICACIONES DICIEMBRE'!$A$1:$O$48</definedName>
    <definedName name="_xlnm.Print_Area" localSheetId="2">'ADJUDICACIONES JULIO'!$A$1:$O$44</definedName>
    <definedName name="_xlnm.Print_Area" localSheetId="6">'ADJUDICACIONES NOVIEMBRE'!$A$1:$O$63</definedName>
    <definedName name="_xlnm.Print_Area" localSheetId="5">'ADJUDICACIONES OCTUBRE'!$A$1:$O$53</definedName>
    <definedName name="_xlnm.Print_Area" localSheetId="4">'ADJUDICACIONES SEPTIEMBRE'!$A$1:$O$50</definedName>
    <definedName name="_xlnm.Print_Area" localSheetId="1">FEBRERO!$A$1:$N$27</definedName>
    <definedName name="_xlnm.Print_Titles" localSheetId="3">'ADJUDICACIONES AGOSTO'!$5:$5</definedName>
    <definedName name="_xlnm.Print_Titles" localSheetId="7">'ADJUDICACIONES DICIEMBRE'!$5:$5</definedName>
    <definedName name="_xlnm.Print_Titles" localSheetId="2">'ADJUDICACIONES JULIO'!$5:$5</definedName>
    <definedName name="_xlnm.Print_Titles" localSheetId="6">'ADJUDICACIONES NOVIEMBRE'!$5:$5</definedName>
    <definedName name="_xlnm.Print_Titles" localSheetId="5">'ADJUDICACIONES OCTUBRE'!$5:$5</definedName>
    <definedName name="_xlnm.Print_Titles" localSheetId="4">'ADJUDICACIONES SEPTIEMBRE'!$5:$5</definedName>
    <definedName name="_xlnm.Print_Titles" localSheetId="1">FEBRERO!$1:$6</definedName>
    <definedName name="_xlnm.Print_Titles" localSheetId="0">'PADRON DE CONTRATISTA 2020'!$3:$3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3" l="1"/>
  <c r="K18" i="28"/>
  <c r="K15" i="28" l="1"/>
  <c r="K12" i="28"/>
  <c r="K19" i="28"/>
  <c r="I18" i="28"/>
  <c r="K16" i="28"/>
  <c r="I15" i="28"/>
  <c r="K13" i="28"/>
  <c r="I12" i="28"/>
  <c r="K10" i="28" l="1"/>
  <c r="I9" i="28"/>
  <c r="K7" i="28"/>
  <c r="I6" i="28"/>
  <c r="K34" i="27" l="1"/>
  <c r="I33" i="27"/>
  <c r="K33" i="27" s="1"/>
  <c r="K31" i="27"/>
  <c r="I30" i="27"/>
  <c r="K30" i="27" s="1"/>
  <c r="E30" i="27"/>
  <c r="K28" i="27"/>
  <c r="I27" i="27"/>
  <c r="K27" i="27" s="1"/>
  <c r="E27" i="27"/>
  <c r="K25" i="27" l="1"/>
  <c r="I24" i="27"/>
  <c r="K22" i="27"/>
  <c r="I21" i="27"/>
  <c r="K21" i="27" s="1"/>
  <c r="K19" i="27"/>
  <c r="I18" i="27"/>
  <c r="K18" i="27" s="1"/>
  <c r="K16" i="27"/>
  <c r="I15" i="27"/>
  <c r="K15" i="27" s="1"/>
  <c r="K13" i="27"/>
  <c r="I12" i="27"/>
  <c r="K10" i="27"/>
  <c r="I9" i="27"/>
  <c r="K7" i="27"/>
  <c r="I6" i="27"/>
  <c r="K6" i="27" s="1"/>
  <c r="E24" i="26"/>
  <c r="K25" i="26"/>
  <c r="I24" i="26"/>
  <c r="K24" i="26" s="1"/>
  <c r="K21" i="26"/>
  <c r="K22" i="26"/>
  <c r="I21" i="26"/>
  <c r="K19" i="26"/>
  <c r="I18" i="26"/>
  <c r="K18" i="26" s="1"/>
  <c r="K16" i="26"/>
  <c r="I15" i="26"/>
  <c r="K13" i="26"/>
  <c r="I12" i="26"/>
  <c r="K12" i="26" s="1"/>
  <c r="K10" i="26"/>
  <c r="I9" i="26"/>
  <c r="K9" i="26" s="1"/>
  <c r="K7" i="26"/>
  <c r="I6" i="26"/>
  <c r="K6" i="26" s="1"/>
  <c r="K22" i="25"/>
  <c r="I21" i="25"/>
  <c r="K19" i="25"/>
  <c r="I18" i="25"/>
  <c r="K16" i="25"/>
  <c r="I15" i="25"/>
  <c r="K15" i="25" s="1"/>
  <c r="K13" i="25"/>
  <c r="I12" i="25"/>
  <c r="K12" i="25" s="1"/>
  <c r="K10" i="25"/>
  <c r="I9" i="25"/>
  <c r="K7" i="25"/>
  <c r="I6" i="25"/>
  <c r="K9" i="24"/>
  <c r="I9" i="24"/>
  <c r="K10" i="24"/>
  <c r="E6" i="24"/>
  <c r="I6" i="24"/>
  <c r="K6" i="24" s="1"/>
  <c r="K7" i="24"/>
  <c r="K13" i="24" l="1"/>
  <c r="I12" i="24"/>
  <c r="K12" i="24" s="1"/>
  <c r="E12" i="24"/>
  <c r="E15" i="23"/>
  <c r="E12" i="23"/>
  <c r="E9" i="23"/>
  <c r="K16" i="23"/>
  <c r="I15" i="23"/>
  <c r="K15" i="23" s="1"/>
  <c r="K13" i="23"/>
  <c r="I12" i="23"/>
  <c r="K10" i="23"/>
  <c r="I9" i="23"/>
  <c r="K9" i="23" s="1"/>
  <c r="K7" i="23"/>
  <c r="I6" i="23"/>
  <c r="L27" i="17"/>
  <c r="L26" i="17"/>
  <c r="L24" i="17"/>
  <c r="L23" i="17"/>
  <c r="L20" i="17"/>
  <c r="L17" i="17"/>
  <c r="L16" i="17"/>
  <c r="L11" i="17"/>
  <c r="L10" i="17"/>
  <c r="L9" i="17"/>
</calcChain>
</file>

<file path=xl/sharedStrings.xml><?xml version="1.0" encoding="utf-8"?>
<sst xmlns="http://schemas.openxmlformats.org/spreadsheetml/2006/main" count="696" uniqueCount="362">
  <si>
    <t>Tipo de Procedimiento</t>
  </si>
  <si>
    <t>Fecha del Contrato</t>
  </si>
  <si>
    <t>Comentarios</t>
  </si>
  <si>
    <t>Número de Expediente, Folio o Nomenclatura</t>
  </si>
  <si>
    <t>Nombre o Razón Social de los Participantes Considerados</t>
  </si>
  <si>
    <t>Número que Identifique al Contrato</t>
  </si>
  <si>
    <t>Monto del Contrato sin Impuestos Incluidos</t>
  </si>
  <si>
    <t>Monto del Contrato con Impuestos Incluidos</t>
  </si>
  <si>
    <t>Hipervínculo al Documento del Contrato y Anexos</t>
  </si>
  <si>
    <t>LISTADO DE ADJUDICACIONES Y LICITACIONES</t>
  </si>
  <si>
    <t>Nombre o Razón Social Del Adjudicado  (proveedor o contratista)</t>
  </si>
  <si>
    <t>Monto Total de Garantías del Contrato</t>
  </si>
  <si>
    <t>Concepto de la Adquisición o Contratación</t>
  </si>
  <si>
    <t>EMPRESAS</t>
  </si>
  <si>
    <t>CALLE</t>
  </si>
  <si>
    <t>COLONIA</t>
  </si>
  <si>
    <t>CIUDAD</t>
  </si>
  <si>
    <t>CP</t>
  </si>
  <si>
    <t>RFC</t>
  </si>
  <si>
    <t>IMSS</t>
  </si>
  <si>
    <t>SEFIPLAN</t>
  </si>
  <si>
    <t>P. MUNICIPAL</t>
  </si>
  <si>
    <t>CORREDOR PUBLICO</t>
  </si>
  <si>
    <t>CIUDAD ESCRITURA</t>
  </si>
  <si>
    <t>REPRESENTANTE LEGAL</t>
  </si>
  <si>
    <t>No. ESCRITURA</t>
  </si>
  <si>
    <t>CONSTRUCTORA ZAGASA S.A. DE C.V.</t>
  </si>
  <si>
    <t>Cjon. Oaxaca No. 1</t>
  </si>
  <si>
    <t>Col. Centro Loc. Mundo Nuevo</t>
  </si>
  <si>
    <t>COATZACOALCOS,VER</t>
  </si>
  <si>
    <t>CZA120118DS1</t>
  </si>
  <si>
    <t>F3443441107</t>
  </si>
  <si>
    <t>0003839</t>
  </si>
  <si>
    <t>OP/CONT/007/2020</t>
  </si>
  <si>
    <t>Coatzacoalcos, Ver</t>
  </si>
  <si>
    <t>ING. DAVID ZACARIAS GALVAN</t>
  </si>
  <si>
    <t>GUSTAVO ZARATE MIGUEL</t>
  </si>
  <si>
    <t>NICOLAS BRAVO No. 13</t>
  </si>
  <si>
    <t>CRUZ VERDE</t>
  </si>
  <si>
    <t>ACAYUCAN, VER</t>
  </si>
  <si>
    <t>ZAMG600411IZ7</t>
  </si>
  <si>
    <t>F1816886106</t>
  </si>
  <si>
    <t>0019853</t>
  </si>
  <si>
    <t>OP/CONT/022/2020</t>
  </si>
  <si>
    <t>ING. GUSTAVO ZARATE MIGUEL</t>
  </si>
  <si>
    <t>CRISOFORO ALFONSO CRUZ</t>
  </si>
  <si>
    <t>MIGUEL HIDALGO S/N</t>
  </si>
  <si>
    <t>BARRIO TERCERO</t>
  </si>
  <si>
    <t>MECAYAPAN, VER</t>
  </si>
  <si>
    <t>AOCC810209NU5</t>
  </si>
  <si>
    <t>X9110366103</t>
  </si>
  <si>
    <t>0003102</t>
  </si>
  <si>
    <t>OP/CONT/034/2020</t>
  </si>
  <si>
    <t>C. CRISOFORO ALFONSO CRUZ</t>
  </si>
  <si>
    <t>SARA AGUILAR REYES</t>
  </si>
  <si>
    <t>FLORES MAGON No.1623</t>
  </si>
  <si>
    <t>BENITO JUAREZ NORTE</t>
  </si>
  <si>
    <t>COATZACOALCOS, VER</t>
  </si>
  <si>
    <t>AURS6609062L3</t>
  </si>
  <si>
    <t>F3446772102</t>
  </si>
  <si>
    <t>0021945</t>
  </si>
  <si>
    <t>OP/CONT/003/2020</t>
  </si>
  <si>
    <t>C. SARA AGUILAR REYES</t>
  </si>
  <si>
    <t>CONSTRUCCIONES, MAQUINARIA Y CONTROL S.A. DE C.V.</t>
  </si>
  <si>
    <t>AV. RODRIGUEZ MALPICA No. 1507</t>
  </si>
  <si>
    <t>PALMA SOLA</t>
  </si>
  <si>
    <t>CMC080214S22</t>
  </si>
  <si>
    <t>F3440142104</t>
  </si>
  <si>
    <t>0003626</t>
  </si>
  <si>
    <t>OP/CONT/010/2020</t>
  </si>
  <si>
    <t>C. ALFONSO MIGUEL ROJAS PEREZ</t>
  </si>
  <si>
    <t>JOSE MANUEL JIMENEZ MARTINEZ</t>
  </si>
  <si>
    <t>RAFAEL HERNANDEZ OCHOA No. 78</t>
  </si>
  <si>
    <t>BARRIO ISLETA</t>
  </si>
  <si>
    <t>CHINAMECA, VER</t>
  </si>
  <si>
    <t>JIMM650501RK0</t>
  </si>
  <si>
    <t>M5110977108</t>
  </si>
  <si>
    <t>OP/CONT/051/2020</t>
  </si>
  <si>
    <t>BEATRIZ TONAHERY MATEO MARTIN</t>
  </si>
  <si>
    <t>CORREOS No. 45</t>
  </si>
  <si>
    <t>BARRIO CUATRO</t>
  </si>
  <si>
    <t>COSOLEACAQUE, VER</t>
  </si>
  <si>
    <t>MAMB890818DB8</t>
  </si>
  <si>
    <t>F4014682103</t>
  </si>
  <si>
    <t>0029345</t>
  </si>
  <si>
    <t>OP/CONT/052/2020</t>
  </si>
  <si>
    <t>ADOLFO ANGEL VAZQUEZ DELGADO</t>
  </si>
  <si>
    <t>NICOLAS BRAVO S/N INT. 93</t>
  </si>
  <si>
    <t>GUSTAVO DIAZ ORDAZ</t>
  </si>
  <si>
    <t>VADA980127F24</t>
  </si>
  <si>
    <t>F4014702109</t>
  </si>
  <si>
    <t>0032345</t>
  </si>
  <si>
    <t>OP/CONT/053/2020</t>
  </si>
  <si>
    <t>NABILE JHOANNA HERNANDEZ CASTELLANOS</t>
  </si>
  <si>
    <t>BENITO JUAREZ No. 304</t>
  </si>
  <si>
    <t>CHINAMECA,VER</t>
  </si>
  <si>
    <t>HECN870610683</t>
  </si>
  <si>
    <t>M5110932103</t>
  </si>
  <si>
    <t>0020363</t>
  </si>
  <si>
    <t>OP/CONT/004/2020</t>
  </si>
  <si>
    <t>ARQ. NABILE JHOANNA HERNANDEZ CASTELLANOS</t>
  </si>
  <si>
    <t>CHRISTIAN JOHUAN CORTES PADUA</t>
  </si>
  <si>
    <t>16 DE SEPTIEMBRE No. 815</t>
  </si>
  <si>
    <t>COPC880819RP9</t>
  </si>
  <si>
    <t>M5110909101</t>
  </si>
  <si>
    <t>0027819</t>
  </si>
  <si>
    <t>OP/CONT/032/2020</t>
  </si>
  <si>
    <t>C. CHRISTIAN JOHUAN CORTES PADUA</t>
  </si>
  <si>
    <t>CONSTRUCCIONES JOCRAN S DE RL DE CV</t>
  </si>
  <si>
    <t>PLUTARCO BASULTO S/N</t>
  </si>
  <si>
    <t>BARR. ISLETA II</t>
  </si>
  <si>
    <t>CHINAMECA</t>
  </si>
  <si>
    <t>CJO190122PV0</t>
  </si>
  <si>
    <t>M5110970103</t>
  </si>
  <si>
    <t>0028937</t>
  </si>
  <si>
    <t>OP/CONT/048/2020</t>
  </si>
  <si>
    <t>JALTIPAN, VER</t>
  </si>
  <si>
    <t>JONATHAN NAEL CORTES PADUA</t>
  </si>
  <si>
    <t>JGM PROYECTOS SUMINISTROS Y SERVICIOS SA DE CV</t>
  </si>
  <si>
    <t>EMILIANO ZAPATA EDIF. A DPTO 103</t>
  </si>
  <si>
    <t>MANUEL AVILA CAMACHO</t>
  </si>
  <si>
    <t>COATZACOALCOS</t>
  </si>
  <si>
    <t>JPS120928Q68</t>
  </si>
  <si>
    <t>F3443203101</t>
  </si>
  <si>
    <t>0004591</t>
  </si>
  <si>
    <t>OP/CONT/054/2020</t>
  </si>
  <si>
    <t>JORGE LOPEZ MANUEL</t>
  </si>
  <si>
    <t>REYMUNDO NOLASCO PARRON</t>
  </si>
  <si>
    <t>AV. ARBOLEDAS No. 170 INT. B</t>
  </si>
  <si>
    <t>FRACC. LAS ARBOLEDAS</t>
  </si>
  <si>
    <t>NOBR900119BJ0</t>
  </si>
  <si>
    <t>F1817037105</t>
  </si>
  <si>
    <t>0029498</t>
  </si>
  <si>
    <t>OP/CONT/055/2020</t>
  </si>
  <si>
    <t>NORA THELMA CRIVELLI RODRIGUEZ</t>
  </si>
  <si>
    <t>ISABEL CATOLICA No. 200 ALTOS</t>
  </si>
  <si>
    <t>JOSE María MORELOS</t>
  </si>
  <si>
    <t>CIRN840404TI8</t>
  </si>
  <si>
    <t>F1816531108</t>
  </si>
  <si>
    <t>0003579</t>
  </si>
  <si>
    <t>OP/CONT/056/2020</t>
  </si>
  <si>
    <t>JOMA MASTER BROKER S.A. DE C.V.</t>
  </si>
  <si>
    <t>JMB180604KQ9</t>
  </si>
  <si>
    <t>F1817010102</t>
  </si>
  <si>
    <t>OP/CONT/039/2020</t>
  </si>
  <si>
    <t>ACAYUCAN,VER</t>
  </si>
  <si>
    <t>ARQ. JORGE LUIS SANCHEZ MAYA</t>
  </si>
  <si>
    <t>YARLETH CASTELLANOS GUZMAN</t>
  </si>
  <si>
    <t>PROL. BENITO JUAREZ No. 208C</t>
  </si>
  <si>
    <t>SAN MIGUEL</t>
  </si>
  <si>
    <t>JALTIPAN</t>
  </si>
  <si>
    <t>CAGY880503CE1</t>
  </si>
  <si>
    <t>F5612531105</t>
  </si>
  <si>
    <t>0029349</t>
  </si>
  <si>
    <t>OP/CONT/047/2020</t>
  </si>
  <si>
    <t>GEORGINA AGUIRRE GARCIA</t>
  </si>
  <si>
    <t>MAGISTERIAL</t>
  </si>
  <si>
    <t>AUGG581221DD0</t>
  </si>
  <si>
    <t>F1817029102</t>
  </si>
  <si>
    <t>0029271</t>
  </si>
  <si>
    <t>OP/CONT/046/2020</t>
  </si>
  <si>
    <t>CONSTRUCCIONES ABDON S.A. DE C.V.</t>
  </si>
  <si>
    <t>TEODORO DEHESA No. 406</t>
  </si>
  <si>
    <t>SAN DIEGO</t>
  </si>
  <si>
    <t>CAB180313GZ5</t>
  </si>
  <si>
    <t>F1816939103</t>
  </si>
  <si>
    <t>0027504</t>
  </si>
  <si>
    <t>OP/CONT/033/2020</t>
  </si>
  <si>
    <t>ING. ADIEL OMAR WALDO CASTAÑON</t>
  </si>
  <si>
    <t>ARBOLEDAS No. 170</t>
  </si>
  <si>
    <t>FRACC LAS ARBOLEDAS</t>
  </si>
  <si>
    <t>FRANCISCO I. MADERO No. 8</t>
  </si>
  <si>
    <t>PBA &amp; CIVILES Y ASOCIADOS SA DE CV</t>
  </si>
  <si>
    <t>GUADALUPE VICTORIA No. 12</t>
  </si>
  <si>
    <t>AGUSTIN MELGAR</t>
  </si>
  <si>
    <t>PAC190302L14</t>
  </si>
  <si>
    <t>F4014664101</t>
  </si>
  <si>
    <t>0028522</t>
  </si>
  <si>
    <t>OP/CONT/057/2020</t>
  </si>
  <si>
    <t>ROLANDO NAVA VAZQUEZ</t>
  </si>
  <si>
    <t>SURIEL VICENTE HERNANDEZ SALAS</t>
  </si>
  <si>
    <t>PINO SUAREZ S/N</t>
  </si>
  <si>
    <t>BARRIO PRIMERO</t>
  </si>
  <si>
    <t>HESS950916M83</t>
  </si>
  <si>
    <t>OP/CONT/058/2020</t>
  </si>
  <si>
    <t>ANA GABRIELA LOPEZ PALACIOS</t>
  </si>
  <si>
    <t>MANUEL ACUÑA No. 403 INT. B</t>
  </si>
  <si>
    <t>TAMARINDO</t>
  </si>
  <si>
    <t>LOPA890829T86</t>
  </si>
  <si>
    <t>F1817109102</t>
  </si>
  <si>
    <t>0035248</t>
  </si>
  <si>
    <t>OP/CONT/059/2020</t>
  </si>
  <si>
    <t>INGENIERÍA, ARQUITECTURA Y ESTRUCTURAS DEL GOLFO S.A. DE C.V.</t>
  </si>
  <si>
    <t>IAE150902QY1</t>
  </si>
  <si>
    <t>M5110936104</t>
  </si>
  <si>
    <t>0028936</t>
  </si>
  <si>
    <t>OP/CONT/060/2020</t>
  </si>
  <si>
    <t>RUPERTO CORTEZ HERRERA</t>
  </si>
  <si>
    <t>JUAN ALFONSO GARCIA URRESTI</t>
  </si>
  <si>
    <t>CALLEJON CARTAS No. 3</t>
  </si>
  <si>
    <t>FRANCISCO VILLA</t>
  </si>
  <si>
    <t>GAUJ7411136WA</t>
  </si>
  <si>
    <t>F1815368106</t>
  </si>
  <si>
    <t>0028828</t>
  </si>
  <si>
    <t>OP/CONT/061/2020</t>
  </si>
  <si>
    <t>PADRON DE CONTRATISTAS 2020</t>
  </si>
  <si>
    <t>GUILLERMO MARTINEZ HIPOLITO</t>
  </si>
  <si>
    <t>INGENIERIA Y PROYECTOS INDUSTRIALES ORO SA DE CV</t>
  </si>
  <si>
    <t>SOTEAPAN, VER</t>
  </si>
  <si>
    <t>Columna1</t>
  </si>
  <si>
    <t>X9110373109</t>
  </si>
  <si>
    <t>0025499</t>
  </si>
  <si>
    <t>JORGE LUIS SANCHEZ MAYA</t>
  </si>
  <si>
    <t>HIDALGO No. 53</t>
  </si>
  <si>
    <t>CENTRO</t>
  </si>
  <si>
    <t>SOCONUSCO, VER</t>
  </si>
  <si>
    <t>SAMJ890924I46</t>
  </si>
  <si>
    <t>F1816676101</t>
  </si>
  <si>
    <t>0005353</t>
  </si>
  <si>
    <t>OP/CONT/013/2020</t>
  </si>
  <si>
    <t>MIGUEL HIDALGO No. 34</t>
  </si>
  <si>
    <t>COL. CENTRO</t>
  </si>
  <si>
    <t>MAHG6705113M2</t>
  </si>
  <si>
    <t>Y0410382105</t>
  </si>
  <si>
    <t>0004732</t>
  </si>
  <si>
    <t>OP/CONT/006/2020</t>
  </si>
  <si>
    <t>ING. GUILLERMO MARTINEZ HIPOLITO</t>
  </si>
  <si>
    <t>TENOCHTITLAN No. 39</t>
  </si>
  <si>
    <t>LAS DELICIAS</t>
  </si>
  <si>
    <t>MINATITLAN, VER</t>
  </si>
  <si>
    <t>IPI1706131F6</t>
  </si>
  <si>
    <t>F6425228103</t>
  </si>
  <si>
    <t>0021979</t>
  </si>
  <si>
    <t>OP/CONT/008/2020</t>
  </si>
  <si>
    <t>ING. MAXIMILIANO GONZALEZ VALDES</t>
  </si>
  <si>
    <t>CORPORATIVO DE SERVICIOS PROFESIONALES Y DESARROLLO URBANISTICO S.A. DE C.V.</t>
  </si>
  <si>
    <t>AV. JUAN OSORIO LOPEZ No. 407</t>
  </si>
  <si>
    <t>CSP190213A92</t>
  </si>
  <si>
    <t>F3447726107</t>
  </si>
  <si>
    <t>0029099</t>
  </si>
  <si>
    <t>OP/CONT/049/2020</t>
  </si>
  <si>
    <t>CINTIA JOCELYN MARTINEZ OSORIO</t>
  </si>
  <si>
    <t>PROYECTOS INTEGRALES LEG GODT S.A DE C.V.</t>
  </si>
  <si>
    <t>EL REY No. 322</t>
  </si>
  <si>
    <t>LAS DUNAS</t>
  </si>
  <si>
    <t>PIL190326CY1</t>
  </si>
  <si>
    <t>F3447858108</t>
  </si>
  <si>
    <t>0032183</t>
  </si>
  <si>
    <t>OP/CONT/062/2020</t>
  </si>
  <si>
    <t>NARCISO VALENCIA SANCHEZ</t>
  </si>
  <si>
    <t>H. AYUNTAMIENTO DE TRES VALLES, VER</t>
  </si>
  <si>
    <t>ANTICIPO</t>
  </si>
  <si>
    <t>CUMPLIMIENTO</t>
  </si>
  <si>
    <t>INVITACION A CUANDO MENOS 3 PERSONAS</t>
  </si>
  <si>
    <t>VICIOS OCULTOS</t>
  </si>
  <si>
    <t>PABLO LUCAS HERNANDEZ CAMACHO</t>
  </si>
  <si>
    <t>EDIFICACIONES PUBLICAS Y
PRIVADAS VERMEX S.A. DE C.V.</t>
  </si>
  <si>
    <t>EQUIPOS INDUSTRIALES SENTERVER S.A. DE C.V.</t>
  </si>
  <si>
    <t xml:space="preserve">MARKA INTERIORISMO S.A. DE C.V. </t>
  </si>
  <si>
    <t>31 DE JULIO DE 2023</t>
  </si>
  <si>
    <t>ADJUDICACION DIRECTA</t>
  </si>
  <si>
    <t>“CONSTRUCCION DE CAMPO DE BEISBOL EN LA LOCALIDAD EJIDO HUAYACAN”</t>
  </si>
  <si>
    <t>RICARDO VELA HERNANDEZ</t>
  </si>
  <si>
    <t>MTV-AD-OP-2023302070034</t>
  </si>
  <si>
    <t>“CONSTRUCCION DE GUARNICIONES Y BANQUETAS EN LA LOCALIDAD EMILIANO ZAPATA”</t>
  </si>
  <si>
    <t>ARTS OFICINA S.A. DE C.V.</t>
  </si>
  <si>
    <t>IBIS TOMAS SANCHEZ CRUZ</t>
  </si>
  <si>
    <t>MTV-INV-OP-2023302070013</t>
  </si>
  <si>
    <t>“CONSTRUCCION DE CAMPO DE BEISBOL EN LA LOCALIDAD LAS MARIAS”</t>
  </si>
  <si>
    <t>MTV-AD-OP-2023302070035</t>
  </si>
  <si>
    <t>AISLAMIENTO OBRAS Y SERVICIOS INDUSTRIALES MR S.A. DE C.V.</t>
  </si>
  <si>
    <t>“DESASOLVE EN CALLES DE LA COLONIA CHIRINOS”</t>
  </si>
  <si>
    <t>IVONNE VILLALOBOS ANTONIO</t>
  </si>
  <si>
    <t>MTV-INV-OP-2023302070007</t>
  </si>
  <si>
    <t>31 DE AGOSTO DE 2023</t>
  </si>
  <si>
    <t>“CONSTRUCCION DE TECHADO EN LA LOCALIDAD DE COLONIA NUEVA OAXACA”</t>
  </si>
  <si>
    <t>MTV-INV-OP-2023302070029</t>
  </si>
  <si>
    <t xml:space="preserve">IVANJES S.A. DE C.V. </t>
  </si>
  <si>
    <t>"REHABILITACION DE ALUMBRADO PUBLICO (OBRA) EN EL BOULEVARD PRESIDENTES DE MEXICO, CALLES 20 DE NOVIEMBRE, JOSE JUSTO CORRO Y URSULO GALVAN"</t>
  </si>
  <si>
    <t>MTV-INV-OP-2023302070011</t>
  </si>
  <si>
    <t>“DESASOLVE EN CALLES DE LA COLONIA CENTRO”</t>
  </si>
  <si>
    <t>MTV-INV-OP-2023302070006</t>
  </si>
  <si>
    <t>30 DE SEPTIEMBRE DE 2023</t>
  </si>
  <si>
    <t>MTV-AD-OP-2023302070014</t>
  </si>
  <si>
    <t>ADJUDICACCION DIRECTA</t>
  </si>
  <si>
    <t>“CONSTRUCCION DE GUARNICIONES Y BANQUETAS EN LA LOCALIDAD SAN ANTONIO (EL CHAMIZAL)”</t>
  </si>
  <si>
    <t>C. ABEL CARDENAS CARDENAS</t>
  </si>
  <si>
    <t>MTV-INV-OP-2023302070032</t>
  </si>
  <si>
    <t xml:space="preserve">“CONSTRUCCION DE TECHADO EN LA LOCALIDAD LAGUNA VERDE”
</t>
  </si>
  <si>
    <t>“CONSTRUCCION DE BARDA(S) PERIMETRAL(ES) EN ESCUELA CENTRO DE ATENCION MULTIPLE No 35”</t>
  </si>
  <si>
    <t>MTV-INV-OP-2023302070017</t>
  </si>
  <si>
    <t>CONSTRUCTORA CARIPE S.A. DE C.V.</t>
  </si>
  <si>
    <t>“CONSTRUCCION DE TECHADO EN LA LOCALIDAD LAS VEGAS DE JUAREZ”</t>
  </si>
  <si>
    <t>MTV-INV-OP-2023302070031</t>
  </si>
  <si>
    <t>ROAR CONSTRUCCIONES Y REPARACIONES S.A. DE C.V.</t>
  </si>
  <si>
    <t>“REHABILITACION DE DRENAJE SANITARIO EN COLONIA LA GANADERA”</t>
  </si>
  <si>
    <t>MTV-INV-OP-2023302070002</t>
  </si>
  <si>
    <t>C. RICARDO VELA HERNANDEZ</t>
  </si>
  <si>
    <t>“CONSTRUCCIÓN DE PARQUE(S) PÚBLICO(S) EN LA LOCALIDAD LA ESPERANZA”</t>
  </si>
  <si>
    <t>MTV-INV-OP-2023302070028</t>
  </si>
  <si>
    <t>C. NORBERTO CLARA RAMIREZ</t>
  </si>
  <si>
    <t>ABEL CARDENAS CARDENAS</t>
  </si>
  <si>
    <t>JOSE MORENO CASTILLO</t>
  </si>
  <si>
    <t>31 DE OCTUBRE DE 2023</t>
  </si>
  <si>
    <t>CONSTRUCCIÓN DE TECHADO(S) EN ÁREA(S) DE IMPARTICIÓN DE EDUCACIÓN FÍSICA EN ESCUELA TELESECUNDARIA FRANCISCO JAVIER CLAVIJERO, EN LA LOCALIDAD DE POBLADO TRES</t>
  </si>
  <si>
    <t>MTV-AD-OP-2023302070020</t>
  </si>
  <si>
    <t>CONSTRUCCIÓN DE PISO FIRME EN LA COLONIA PATRICIO CHIRINOS, ZONA URBANA Y LAZARO CARDENAS</t>
  </si>
  <si>
    <t>MTV-INV-OP-2023302070021</t>
  </si>
  <si>
    <t>CONSTRUCCION DE CALLE CON CONCRETO HIDRAULICO EN LA LOCALIDAD ZONA URBANA EJIDAL</t>
  </si>
  <si>
    <t>VASABRU COMPANY S.A. DE C.V.</t>
  </si>
  <si>
    <t>MTV-INV-OP-2023302070015</t>
  </si>
  <si>
    <t>MTV-INV-OP-2023302070118</t>
  </si>
  <si>
    <t>BRYAN EDUARDO ALVAREZ GALAN</t>
  </si>
  <si>
    <t>REHABILITACION DE PALACIO MUNICIPAL (ETAPA 2)</t>
  </si>
  <si>
    <t>MTV-INV-OP-2023302070019</t>
  </si>
  <si>
    <t>CONSTRUCCIÓN DE TECHADO(S) EN ÁREA(S) DE IMPARTICIÓN DE EDUCACIÓN FÍSICA EN ESCUELA SECUNDARIA GENERAL TRES VALLES</t>
  </si>
  <si>
    <t>MTV-AD-OP-2023302070039</t>
  </si>
  <si>
    <t>CONSTRUCCIÓN DE CAMPO DE BEISBOL EN LA LOCALIDAD EL NUEVO MANANTIAL</t>
  </si>
  <si>
    <t>MTV-AD-OP-2023302070036</t>
  </si>
  <si>
    <t>CONSTRUCCIÓN DE CAMPO DE BEISBOL EN LA LOCALIDAD LOS NARANJOS</t>
  </si>
  <si>
    <t>30 DE NOVIEMBRE DE 2023</t>
  </si>
  <si>
    <t>REHABILITACION DE DISPENSARIO MEDICO EN LA LOCALIDAD LAS MESILLAS</t>
  </si>
  <si>
    <t>CBRO CONSTRUCTORA E INMOBILIARIA S.A. DE C.V.</t>
  </si>
  <si>
    <t>COSTRUTTORI S.A. DE C.V.</t>
  </si>
  <si>
    <t>CONSTRUCCION DE AULA EN ESCUELA PRIMARIA 20 DE NOVIEMBRE</t>
  </si>
  <si>
    <t>MTV-AD-OP-2023302070018</t>
  </si>
  <si>
    <t>REHABILITACIÓN DE CAMINO SACACOSECHAS DE ENTRONQUE EL CRUCERO AL BOULEVARD DE LA MUJER CHINANTECA</t>
  </si>
  <si>
    <t>MTV-INV-OP-2023302070043</t>
  </si>
  <si>
    <t>REHABILITACIÓN DE CAMINO SACACOSECHAS DE CAMPO MEXICO A CAMPO VERACRUZ</t>
  </si>
  <si>
    <t>MTV-INV-OP-2023302070022</t>
  </si>
  <si>
    <t>REHABILITACIÓN DE PARQUE(S) PÚBLICO EN LA LOCALIDAD COLONIA AGRICOLA INDEPENDENCIA</t>
  </si>
  <si>
    <t>MTV-INV-OP-2023302070026</t>
  </si>
  <si>
    <t>REHABILITACIÓN DE DRENAJE SANITARIO EN CALLE IGNACIO ZARAGOZA EN BARRIO DE LA CRUZ</t>
  </si>
  <si>
    <t>CONSTRUCCION DE CAMPO DE BEISBOL EN LA LOCALIDAD DE ZAPOTE COLORADO</t>
  </si>
  <si>
    <t>MTV-AD-OP-2023302070033</t>
  </si>
  <si>
    <t>REHABILITACION DE CALLE CON CONCRETO HIDRAULICO EN EL BOULEVARD FERNANDO GUTIERREZ BARRIOS PRIMERA ETAPA</t>
  </si>
  <si>
    <t>JUAN REYES VALLECILLO</t>
  </si>
  <si>
    <t>MTV-INV-OP-2023302070004</t>
  </si>
  <si>
    <t>MTV-INV-OP-2023302070008</t>
  </si>
  <si>
    <t>REHABILITACION DE ALUMBRADO PUBLICO (OBRA) EN LAS LOCALIDADES LA GRANJA, EL ZAPOTAL, LA APOMPO, LAS MARAVILLAS, COLONIA MEXPAPE Y CABECERA MUNICIPAL</t>
  </si>
  <si>
    <t>MTV-INV-OP-2023302070301</t>
  </si>
  <si>
    <t>MTV-AD-OP-2023302070042</t>
  </si>
  <si>
    <t>REHABILITACIÓN DE PARQUE(S) PÚBLICO EN LA LOCALIDAD LOMA SAN JUAN</t>
  </si>
  <si>
    <t>31 DE DICIEMBRE DE 2023</t>
  </si>
  <si>
    <t>CONSTRUCCION DE POZO PROFUNDO DE AGUA ENTUBADA EN LA COLONIA 20 DE NOVIEMBRE</t>
  </si>
  <si>
    <t>MTV-INV-OP-2023302070001</t>
  </si>
  <si>
    <t>MTV-INV-OP-2023302070016</t>
  </si>
  <si>
    <t>C. SALVADOR ALBA GOMEZ</t>
  </si>
  <si>
    <t>DESASOLVE EN CALLES DE LAS COLONIAS ZONA URBANA EJIDAL, NUEVA AMPLIACION TRES VALLES, URSULO GALVAN Y FIDEL HERRERA BELTRAN</t>
  </si>
  <si>
    <t>MTV-INV-OP-2023302070130</t>
  </si>
  <si>
    <t>REHABILITACIÓN DE PARQUE(S) PÚBLICO EN LA COLONIA ADOLFO RUIZ CORTINEZ (COLONIA OBRERA)</t>
  </si>
  <si>
    <t>MTV-INV-OP-2023302070027</t>
  </si>
  <si>
    <t>MTV-INV-OP-2023302070040</t>
  </si>
  <si>
    <t>MTV-INV-OP-2023302070041</t>
  </si>
  <si>
    <t>REHABILITACIÓN DE CAMINO SACACOSECHAS DE ENTRONQUE CARRETERA FEDERAL A PLAN DE ALLENDE</t>
  </si>
  <si>
    <t>C. JUAN REYES VALLECILLO</t>
  </si>
  <si>
    <t>REHABILITACIÓN DE CAMINO SACACOSECHAS DE CARRETERA FEDERAL A MARIA IGNACIA (PARADA LAS MACAYAS)</t>
  </si>
  <si>
    <t xml:space="preserve"> </t>
  </si>
  <si>
    <t>C.JOSE MORENO CASTILLO</t>
  </si>
  <si>
    <t>C. BRYAN EDUARDO ALVAREZ GALAN</t>
  </si>
  <si>
    <t>H. AYUNTAMIENTO DE ACAJETE, VER</t>
  </si>
  <si>
    <t>DEL 01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</si>
</sst>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6"/>
      <color theme="1"/>
      <name val="INSPECTIONXPERT GDT FRAMES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44" fontId="7" fillId="0" borderId="1" xfId="2" applyFont="1" applyBorder="1" applyAlignment="1">
      <alignment horizontal="center" vertical="center" wrapText="1"/>
    </xf>
    <xf numFmtId="44" fontId="5" fillId="2" borderId="2" xfId="2" applyFont="1" applyFill="1" applyBorder="1" applyAlignment="1">
      <alignment horizontal="center" vertical="center" wrapText="1"/>
    </xf>
    <xf numFmtId="44" fontId="3" fillId="0" borderId="0" xfId="2" applyFont="1"/>
    <xf numFmtId="44" fontId="4" fillId="0" borderId="0" xfId="2" applyFont="1"/>
    <xf numFmtId="0" fontId="0" fillId="0" borderId="0" xfId="0" applyAlignment="1">
      <alignment horizontal="justify"/>
    </xf>
    <xf numFmtId="0" fontId="10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49" fontId="13" fillId="0" borderId="8" xfId="0" applyNumberFormat="1" applyFont="1" applyBorder="1" applyAlignment="1">
      <alignment horizontal="justify" vertical="center" wrapText="1"/>
    </xf>
    <xf numFmtId="0" fontId="13" fillId="0" borderId="9" xfId="0" applyFont="1" applyBorder="1" applyAlignment="1">
      <alignment horizontal="justify" vertical="center" wrapText="1"/>
    </xf>
    <xf numFmtId="0" fontId="13" fillId="0" borderId="6" xfId="0" applyFont="1" applyBorder="1" applyAlignment="1">
      <alignment vertical="center" wrapText="1"/>
    </xf>
    <xf numFmtId="0" fontId="12" fillId="0" borderId="10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49" fontId="13" fillId="0" borderId="5" xfId="0" applyNumberFormat="1" applyFont="1" applyBorder="1" applyAlignment="1">
      <alignment horizontal="justify" vertical="center" wrapText="1"/>
    </xf>
    <xf numFmtId="0" fontId="13" fillId="3" borderId="11" xfId="0" applyFont="1" applyFill="1" applyBorder="1" applyAlignment="1">
      <alignment horizontal="justify" vertical="center" wrapText="1"/>
    </xf>
    <xf numFmtId="0" fontId="13" fillId="3" borderId="12" xfId="0" applyFont="1" applyFill="1" applyBorder="1" applyAlignment="1">
      <alignment horizontal="justify" vertical="center" wrapText="1"/>
    </xf>
    <xf numFmtId="0" fontId="13" fillId="0" borderId="5" xfId="0" applyFont="1" applyBorder="1" applyAlignment="1">
      <alignment vertical="center" wrapText="1"/>
    </xf>
    <xf numFmtId="0" fontId="13" fillId="0" borderId="10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/>
    </xf>
    <xf numFmtId="0" fontId="13" fillId="0" borderId="13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justify"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wrapText="1"/>
    </xf>
    <xf numFmtId="0" fontId="11" fillId="0" borderId="13" xfId="0" applyFont="1" applyBorder="1" applyAlignment="1">
      <alignment vertical="center" wrapText="1"/>
    </xf>
    <xf numFmtId="14" fontId="13" fillId="0" borderId="5" xfId="0" applyNumberFormat="1" applyFont="1" applyBorder="1" applyAlignment="1">
      <alignment vertical="center" wrapText="1"/>
    </xf>
    <xf numFmtId="0" fontId="13" fillId="0" borderId="14" xfId="0" applyFont="1" applyBorder="1" applyAlignment="1">
      <alignment horizontal="justify" vertical="center"/>
    </xf>
    <xf numFmtId="0" fontId="13" fillId="0" borderId="15" xfId="0" applyFont="1" applyBorder="1" applyAlignment="1">
      <alignment horizontal="justify" vertical="center" wrapText="1"/>
    </xf>
    <xf numFmtId="0" fontId="10" fillId="0" borderId="15" xfId="0" applyFont="1" applyBorder="1" applyAlignment="1">
      <alignment horizontal="justify" vertical="center" wrapText="1"/>
    </xf>
    <xf numFmtId="49" fontId="13" fillId="0" borderId="15" xfId="0" applyNumberFormat="1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14" fontId="13" fillId="0" borderId="17" xfId="0" applyNumberFormat="1" applyFont="1" applyBorder="1" applyAlignment="1">
      <alignment vertical="center" wrapText="1"/>
    </xf>
    <xf numFmtId="0" fontId="13" fillId="0" borderId="18" xfId="0" applyFont="1" applyBorder="1" applyAlignment="1">
      <alignment horizontal="justify" vertical="center"/>
    </xf>
    <xf numFmtId="0" fontId="13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49" fontId="13" fillId="0" borderId="17" xfId="0" applyNumberFormat="1" applyFont="1" applyBorder="1" applyAlignment="1">
      <alignment horizontal="justify" vertical="center" wrapText="1"/>
    </xf>
    <xf numFmtId="0" fontId="13" fillId="0" borderId="19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44" fontId="2" fillId="0" borderId="0" xfId="2" applyFont="1" applyBorder="1" applyAlignment="1">
      <alignment horizontal="center" vertical="center"/>
    </xf>
    <xf numFmtId="44" fontId="5" fillId="0" borderId="0" xfId="2" applyFont="1" applyBorder="1" applyAlignment="1">
      <alignment horizontal="center" vertical="center" wrapText="1"/>
    </xf>
    <xf numFmtId="44" fontId="8" fillId="0" borderId="0" xfId="2" applyFont="1" applyBorder="1" applyAlignment="1">
      <alignment horizontal="center" vertical="center" wrapText="1"/>
    </xf>
    <xf numFmtId="44" fontId="8" fillId="0" borderId="0" xfId="2" applyFont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7" fillId="0" borderId="1" xfId="2" applyFont="1" applyBorder="1" applyAlignment="1">
      <alignment horizontal="center" vertical="center"/>
    </xf>
    <xf numFmtId="44" fontId="8" fillId="0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4" fontId="7" fillId="4" borderId="1" xfId="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1" xfId="2" applyFont="1" applyBorder="1" applyAlignment="1">
      <alignment horizontal="center" vertical="center" wrapText="1"/>
    </xf>
    <xf numFmtId="44" fontId="8" fillId="0" borderId="1" xfId="2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4" fontId="2" fillId="0" borderId="0" xfId="2" applyFont="1" applyBorder="1" applyAlignment="1">
      <alignment horizontal="center" vertical="center" wrapText="1"/>
    </xf>
    <xf numFmtId="44" fontId="3" fillId="0" borderId="0" xfId="2" applyFont="1" applyAlignment="1">
      <alignment wrapText="1"/>
    </xf>
    <xf numFmtId="0" fontId="4" fillId="0" borderId="0" xfId="0" applyFont="1" applyAlignment="1">
      <alignment horizontal="center"/>
    </xf>
    <xf numFmtId="0" fontId="17" fillId="7" borderId="2" xfId="0" applyFont="1" applyFill="1" applyBorder="1" applyAlignment="1">
      <alignment horizontal="center" vertical="center" wrapText="1"/>
    </xf>
    <xf numFmtId="44" fontId="17" fillId="7" borderId="2" xfId="2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4" fontId="2" fillId="0" borderId="2" xfId="2" applyFont="1" applyBorder="1" applyAlignment="1">
      <alignment horizontal="center" vertical="center" wrapText="1"/>
    </xf>
    <xf numFmtId="44" fontId="2" fillId="0" borderId="20" xfId="2" applyFont="1" applyBorder="1" applyAlignment="1">
      <alignment horizontal="center" vertical="center" wrapText="1"/>
    </xf>
    <xf numFmtId="44" fontId="2" fillId="0" borderId="21" xfId="2" applyFont="1" applyBorder="1" applyAlignment="1">
      <alignment horizontal="center" vertical="center" wrapText="1"/>
    </xf>
    <xf numFmtId="44" fontId="5" fillId="0" borderId="2" xfId="2" applyFont="1" applyBorder="1" applyAlignment="1">
      <alignment horizontal="center" vertical="center" wrapText="1"/>
    </xf>
    <xf numFmtId="44" fontId="5" fillId="0" borderId="20" xfId="2" applyFont="1" applyBorder="1" applyAlignment="1">
      <alignment horizontal="center" vertical="center" wrapText="1"/>
    </xf>
    <xf numFmtId="44" fontId="5" fillId="0" borderId="21" xfId="2" applyFont="1" applyBorder="1" applyAlignment="1">
      <alignment horizontal="center" vertical="center" wrapText="1"/>
    </xf>
    <xf numFmtId="0" fontId="15" fillId="0" borderId="2" xfId="4" applyBorder="1" applyAlignment="1">
      <alignment horizontal="justify" vertical="center" wrapText="1"/>
    </xf>
    <xf numFmtId="0" fontId="15" fillId="0" borderId="20" xfId="4" applyBorder="1" applyAlignment="1">
      <alignment horizontal="justify" vertical="center" wrapText="1"/>
    </xf>
    <xf numFmtId="0" fontId="15" fillId="0" borderId="21" xfId="4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 wrapText="1"/>
    </xf>
    <xf numFmtId="0" fontId="15" fillId="0" borderId="1" xfId="4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4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/>
    </xf>
    <xf numFmtId="8" fontId="5" fillId="0" borderId="1" xfId="2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44" fontId="5" fillId="0" borderId="2" xfId="2" applyFont="1" applyBorder="1" applyAlignment="1">
      <alignment horizontal="center" vertical="center"/>
    </xf>
    <xf numFmtId="44" fontId="5" fillId="0" borderId="20" xfId="2" applyFont="1" applyBorder="1" applyAlignment="1">
      <alignment horizontal="center" vertical="center"/>
    </xf>
    <xf numFmtId="44" fontId="5" fillId="0" borderId="21" xfId="2" applyFont="1" applyBorder="1" applyAlignment="1">
      <alignment horizontal="center" vertical="center"/>
    </xf>
    <xf numFmtId="8" fontId="5" fillId="0" borderId="2" xfId="2" applyNumberFormat="1" applyFont="1" applyBorder="1" applyAlignment="1">
      <alignment horizontal="center" vertical="center"/>
    </xf>
    <xf numFmtId="8" fontId="5" fillId="0" borderId="20" xfId="2" applyNumberFormat="1" applyFont="1" applyBorder="1" applyAlignment="1">
      <alignment horizontal="center" vertical="center"/>
    </xf>
    <xf numFmtId="8" fontId="5" fillId="0" borderId="2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">
    <cellStyle name="Hipervínculo" xfId="4" builtinId="8"/>
    <cellStyle name="Moneda" xfId="2" builtinId="4"/>
    <cellStyle name="Moneda 2" xfId="3"/>
    <cellStyle name="Normal" xfId="0" builtinId="0"/>
    <cellStyle name="Normal 2" xfId="1"/>
  </cellStyles>
  <dxfs count="20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theme="6" tint="0.79998168889431442"/>
          <bgColor auto="1"/>
        </patternFill>
      </fill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3327</xdr:rowOff>
    </xdr:from>
    <xdr:to>
      <xdr:col>10</xdr:col>
      <xdr:colOff>849586</xdr:colOff>
      <xdr:row>27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DFE83269-0B6F-4BAC-83C7-5966DE6EE7CC}"/>
            </a:ext>
          </a:extLst>
        </xdr:cNvPr>
        <xdr:cNvGrpSpPr/>
      </xdr:nvGrpSpPr>
      <xdr:grpSpPr>
        <a:xfrm>
          <a:off x="1088571" y="7446434"/>
          <a:ext cx="10868526" cy="3485106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40E386BE-71F4-678F-C421-B686648910F9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833785F2-7DDB-7EDE-67BE-AC73283ED842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400920F8-AAFC-0D5B-A402-395870B2EB8D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C. MARIA CLAUDIA NAVA SANTOS 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</a:t>
              </a:r>
              <a:r>
                <a:rPr lang="es-MX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EEA1F0E7-214A-3523-BE24-4843C93D60EF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113752B4-2CB0-F846-7E70-7F6772F1A858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90AA709A-F441-5502-8A13-E691BF02536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</xdr:col>
      <xdr:colOff>118534</xdr:colOff>
      <xdr:row>0</xdr:row>
      <xdr:rowOff>152402</xdr:rowOff>
    </xdr:from>
    <xdr:to>
      <xdr:col>1</xdr:col>
      <xdr:colOff>1092201</xdr:colOff>
      <xdr:row>5</xdr:row>
      <xdr:rowOff>3965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07C158-E42F-C979-E4D1-1C8EC093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134" y="152402"/>
          <a:ext cx="973667" cy="9352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143934</xdr:rowOff>
    </xdr:from>
    <xdr:to>
      <xdr:col>11</xdr:col>
      <xdr:colOff>16328</xdr:colOff>
      <xdr:row>4</xdr:row>
      <xdr:rowOff>52565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3DA56C6-E6AD-A834-E77D-DB90BFA1C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6933" y="143934"/>
          <a:ext cx="879928" cy="823031"/>
        </a:xfrm>
        <a:prstGeom prst="rect">
          <a:avLst/>
        </a:prstGeom>
      </xdr:spPr>
    </xdr:pic>
    <xdr:clientData/>
  </xdr:twoCellAnchor>
  <xdr:oneCellAnchor>
    <xdr:from>
      <xdr:col>3</xdr:col>
      <xdr:colOff>462548</xdr:colOff>
      <xdr:row>9</xdr:row>
      <xdr:rowOff>393727</xdr:rowOff>
    </xdr:from>
    <xdr:ext cx="5721246" cy="937629"/>
    <xdr:sp macro="" textlink="">
      <xdr:nvSpPr>
        <xdr:cNvPr id="10" name="Rectángulo 9"/>
        <xdr:cNvSpPr/>
      </xdr:nvSpPr>
      <xdr:spPr>
        <a:xfrm>
          <a:off x="4367798" y="3346477"/>
          <a:ext cx="572124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SIN MOVIMIENTOS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3327</xdr:rowOff>
    </xdr:from>
    <xdr:to>
      <xdr:col>10</xdr:col>
      <xdr:colOff>849586</xdr:colOff>
      <xdr:row>43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6BD20C5B-48E5-41F1-9CDB-A43266DD5CC2}"/>
            </a:ext>
          </a:extLst>
        </xdr:cNvPr>
        <xdr:cNvGrpSpPr/>
      </xdr:nvGrpSpPr>
      <xdr:grpSpPr>
        <a:xfrm>
          <a:off x="1120205" y="6848301"/>
          <a:ext cx="11185432" cy="3692586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B1C29433-144B-E9BD-0356-7885EA459723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A0E1AB48-40E8-9D36-40D7-93BC9E13949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1A11C94E-BAD5-EC1B-5087-FB5D0E39FA7A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CAA3D285-242B-25B4-77AB-552E795EC823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B60D64A6-7691-4540-78F3-58128C7E8511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5106FFE7-1618-8FF4-B036-221D7A28263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2C5E8DD-3BED-4CA6-80EE-719425329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537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C659B9D-A4C2-4F42-A8D9-57AC92A0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3327</xdr:rowOff>
    </xdr:from>
    <xdr:to>
      <xdr:col>10</xdr:col>
      <xdr:colOff>849586</xdr:colOff>
      <xdr:row>40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66431995-5458-4264-87F1-74A892C40DD6}"/>
            </a:ext>
          </a:extLst>
        </xdr:cNvPr>
        <xdr:cNvGrpSpPr/>
      </xdr:nvGrpSpPr>
      <xdr:grpSpPr>
        <a:xfrm>
          <a:off x="1120205" y="5656455"/>
          <a:ext cx="11211484" cy="3692585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022ADAB9-A7C6-EDEF-1BD7-DDADEE70EB8F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B2B8DBCC-A82F-8CE0-A336-D44BAF313DFB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929C6AB0-2AC6-D70A-DA9C-80DD2984F1B4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29E8267F-FB35-CDB4-07D0-3EAA7B661E2F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F0217603-6063-EE95-E502-5CDA7F421185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B816525E-8BC7-70CC-81A8-9176A9CA54C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4246748-EB21-4B41-B497-1892FEECE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537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DE709DF-CAFE-4EFA-AD48-8A8FCD84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3327</xdr:rowOff>
    </xdr:from>
    <xdr:to>
      <xdr:col>10</xdr:col>
      <xdr:colOff>849586</xdr:colOff>
      <xdr:row>49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8118EE50-99E6-45AA-8872-1BC9C5DEE9AA}"/>
            </a:ext>
          </a:extLst>
        </xdr:cNvPr>
        <xdr:cNvGrpSpPr/>
      </xdr:nvGrpSpPr>
      <xdr:grpSpPr>
        <a:xfrm>
          <a:off x="1119398" y="10253239"/>
          <a:ext cx="11200648" cy="3677772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F35015F9-9A9B-96C0-CB59-CC93FF9E5368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5353E761-2F83-89AB-A50A-84F9870F366A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BD5ED5C9-9B97-1607-B578-CAE75AF394A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988B522F-B15F-5ADE-303F-E21B6B5B3E24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B216E74B-7E45-6492-D287-74E907E163FD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7F58E69C-30A0-D1E0-5D27-2475DDF6272E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168534-05F4-40C6-9546-51779DD82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585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46BE3E7-443B-4E16-AB83-D5240990C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3327</xdr:rowOff>
    </xdr:from>
    <xdr:to>
      <xdr:col>10</xdr:col>
      <xdr:colOff>849586</xdr:colOff>
      <xdr:row>52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5544D2A8-2241-4190-8688-02BD8B84587C}"/>
            </a:ext>
          </a:extLst>
        </xdr:cNvPr>
        <xdr:cNvGrpSpPr/>
      </xdr:nvGrpSpPr>
      <xdr:grpSpPr>
        <a:xfrm>
          <a:off x="1119398" y="11750265"/>
          <a:ext cx="11200648" cy="3677773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7C117519-FA61-4117-A53F-943D83B8AF68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75AC2E8A-F1A9-414C-6165-665978B497AD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FCDFF0B9-1BF7-0E14-FBD5-84F1FCBD10E8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34942032-2C96-49A2-372F-F85E7D509381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7D2167C8-A59A-3522-4283-7E6A7171989B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0C52FC6A-CA01-67C8-8361-D620A0569E74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F91C0DD-ADF0-4E0E-8BB4-73370BE1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585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8B9FF1F-51B8-4EF4-976C-75234897D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3327</xdr:rowOff>
    </xdr:from>
    <xdr:to>
      <xdr:col>10</xdr:col>
      <xdr:colOff>849586</xdr:colOff>
      <xdr:row>62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E7B4F802-479C-4C55-B184-A12FA210667D}"/>
            </a:ext>
          </a:extLst>
        </xdr:cNvPr>
        <xdr:cNvGrpSpPr/>
      </xdr:nvGrpSpPr>
      <xdr:grpSpPr>
        <a:xfrm>
          <a:off x="1119398" y="16146938"/>
          <a:ext cx="11200648" cy="3677773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15910164-64BC-2528-95AA-CA55665AED14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A7D7C7F9-B5C1-5C24-0667-380E13610779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99EEE629-7B06-70C7-A3EE-951BF39C9DB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7292AF7F-7124-D55D-DBDA-11CAA08A2081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64FC1540-ADDF-8839-615E-6D81A7E6E488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47BA1522-118E-BE84-2A37-D235D63AD35B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2111A7C-75C9-4294-9266-132FEB762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585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13A574E-2ADE-4433-8232-64E454039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3327</xdr:rowOff>
    </xdr:from>
    <xdr:to>
      <xdr:col>10</xdr:col>
      <xdr:colOff>849586</xdr:colOff>
      <xdr:row>47</xdr:row>
      <xdr:rowOff>113861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EB6E5BC2-1396-40A6-8046-88876ED642DD}"/>
            </a:ext>
          </a:extLst>
        </xdr:cNvPr>
        <xdr:cNvGrpSpPr/>
      </xdr:nvGrpSpPr>
      <xdr:grpSpPr>
        <a:xfrm>
          <a:off x="1118152" y="8625523"/>
          <a:ext cx="11202847" cy="3622360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B5083F49-A4A7-761A-1599-43AD365A1196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A7E1CDB6-BB0E-919B-2F1B-6D6245033A05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YESENIA VILLAMUR MORA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F5386251-5187-20D1-A865-81BCA402E94C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PROFRA. ZULEMA DEL CARMEN AGUILAR GARCIA</a:t>
              </a:r>
            </a:p>
            <a:p>
              <a:pPr algn="ctr"/>
              <a:r>
                <a:rPr lang="es-MX" sz="12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F7324999-4495-9A76-2408-AAF7E3FD9ADB}"/>
                </a:ext>
              </a:extLst>
            </xdr:cNvPr>
            <xdr:cNvSpPr txBox="1"/>
          </xdr:nvSpPr>
          <xdr:spPr>
            <a:xfrm>
              <a:off x="177844" y="9429933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ALBERTO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OCAMPO HERNANDEZ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6273BFED-D4D9-D5C3-2BC6-679EF6E0542F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DEL CARMEN TORRES CLEMENTE 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2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2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2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6F801E16-FE67-2BEB-2602-2B1DD945AC3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2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11</xdr:col>
      <xdr:colOff>446690</xdr:colOff>
      <xdr:row>0</xdr:row>
      <xdr:rowOff>78828</xdr:rowOff>
    </xdr:from>
    <xdr:to>
      <xdr:col>12</xdr:col>
      <xdr:colOff>389635</xdr:colOff>
      <xdr:row>2</xdr:row>
      <xdr:rowOff>226936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6198B6E-3F0D-40AB-A22A-9A0A475A0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5850" y="78828"/>
          <a:ext cx="1405985" cy="605308"/>
        </a:xfrm>
        <a:prstGeom prst="rect">
          <a:avLst/>
        </a:prstGeom>
      </xdr:spPr>
    </xdr:pic>
    <xdr:clientData/>
  </xdr:twoCellAnchor>
  <xdr:twoCellAnchor editAs="oneCell">
    <xdr:from>
      <xdr:col>0</xdr:col>
      <xdr:colOff>268847</xdr:colOff>
      <xdr:row>0</xdr:row>
      <xdr:rowOff>87586</xdr:rowOff>
    </xdr:from>
    <xdr:to>
      <xdr:col>1</xdr:col>
      <xdr:colOff>107994</xdr:colOff>
      <xdr:row>3</xdr:row>
      <xdr:rowOff>122621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4AB4638-68AE-4BC5-A640-2FB5C3E4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47" y="87586"/>
          <a:ext cx="951667" cy="7208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a1344" displayName="Tabla1344" ref="A3:N31" totalsRowShown="0" headerRowDxfId="19" dataDxfId="17" headerRowBorderDxfId="18" tableBorderDxfId="16" totalsRowBorderDxfId="15">
  <autoFilter ref="A3:N31"/>
  <sortState ref="A4:M7">
    <sortCondition ref="I3:I7"/>
  </sortState>
  <tableColumns count="14">
    <tableColumn id="1" name="EMPRESAS" dataDxfId="14"/>
    <tableColumn id="2" name="CALLE" dataDxfId="13"/>
    <tableColumn id="3" name="COLONIA" dataDxfId="12"/>
    <tableColumn id="4" name="CIUDAD" dataDxfId="11"/>
    <tableColumn id="14" name="CP" dataDxfId="10"/>
    <tableColumn id="5" name="RFC" dataDxfId="9"/>
    <tableColumn id="6" name="IMSS" dataDxfId="8"/>
    <tableColumn id="7" name="SEFIPLAN" dataDxfId="7"/>
    <tableColumn id="8" name="P. MUNICIPAL" dataDxfId="6"/>
    <tableColumn id="9" name="CORREDOR PUBLICO" dataDxfId="5"/>
    <tableColumn id="10" name="CIUDAD ESCRITURA" dataDxfId="4"/>
    <tableColumn id="11" name="REPRESENTANTE LEGAL" dataDxfId="3"/>
    <tableColumn id="12" name="No. ESCRITURA" dataDxfId="2"/>
    <tableColumn id="13" name="Columna1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13" zoomScale="70" zoomScaleNormal="70" zoomScalePageLayoutView="90" workbookViewId="0">
      <selection activeCell="E6" sqref="E6:E8"/>
    </sheetView>
  </sheetViews>
  <sheetFormatPr baseColWidth="10" defaultColWidth="10.7109375" defaultRowHeight="18.75"/>
  <cols>
    <col min="1" max="1" width="25.5703125" style="10" customWidth="1"/>
    <col min="2" max="2" width="20" customWidth="1"/>
    <col min="3" max="3" width="22.28515625" customWidth="1"/>
    <col min="4" max="4" width="20.5703125" customWidth="1"/>
    <col min="5" max="5" width="13.7109375" customWidth="1"/>
    <col min="6" max="6" width="27" style="11" customWidth="1"/>
    <col min="7" max="7" width="17.42578125" customWidth="1"/>
    <col min="9" max="9" width="14.42578125" customWidth="1"/>
    <col min="10" max="10" width="15.140625" customWidth="1"/>
    <col min="11" max="11" width="17.140625" customWidth="1"/>
    <col min="12" max="12" width="18" style="12" customWidth="1"/>
    <col min="13" max="13" width="15.28515625" customWidth="1"/>
  </cols>
  <sheetData>
    <row r="1" spans="1:14" ht="15" customHeight="1">
      <c r="A1" s="78" t="s">
        <v>205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4" ht="9.7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4" s="13" customFormat="1" ht="51.75" customHeight="1">
      <c r="A3" s="14" t="s">
        <v>13</v>
      </c>
      <c r="B3" s="14" t="s">
        <v>14</v>
      </c>
      <c r="C3" s="14" t="s">
        <v>15</v>
      </c>
      <c r="D3" s="14" t="s">
        <v>16</v>
      </c>
      <c r="E3" s="14" t="s">
        <v>17</v>
      </c>
      <c r="F3" s="15" t="s">
        <v>18</v>
      </c>
      <c r="G3" s="14" t="s">
        <v>19</v>
      </c>
      <c r="H3" s="14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7" t="s">
        <v>209</v>
      </c>
    </row>
    <row r="4" spans="1:14" ht="51.75" customHeight="1">
      <c r="A4" s="18" t="s">
        <v>26</v>
      </c>
      <c r="B4" s="19" t="s">
        <v>27</v>
      </c>
      <c r="C4" s="19" t="s">
        <v>28</v>
      </c>
      <c r="D4" s="19" t="s">
        <v>29</v>
      </c>
      <c r="E4" s="19">
        <v>96383</v>
      </c>
      <c r="F4" s="20" t="s">
        <v>30</v>
      </c>
      <c r="G4" s="19" t="s">
        <v>31</v>
      </c>
      <c r="H4" s="21" t="s">
        <v>32</v>
      </c>
      <c r="I4" s="19" t="s">
        <v>33</v>
      </c>
      <c r="J4" s="19">
        <v>13</v>
      </c>
      <c r="K4" s="19" t="s">
        <v>34</v>
      </c>
      <c r="L4" s="19" t="s">
        <v>35</v>
      </c>
      <c r="M4" s="22">
        <v>15259</v>
      </c>
      <c r="N4" s="23"/>
    </row>
    <row r="5" spans="1:14" ht="51.75" customHeight="1">
      <c r="A5" s="24" t="s">
        <v>36</v>
      </c>
      <c r="B5" s="25" t="s">
        <v>37</v>
      </c>
      <c r="C5" s="25" t="s">
        <v>38</v>
      </c>
      <c r="D5" s="25" t="s">
        <v>39</v>
      </c>
      <c r="E5" s="25">
        <v>96079</v>
      </c>
      <c r="F5" s="26" t="s">
        <v>40</v>
      </c>
      <c r="G5" s="25" t="s">
        <v>41</v>
      </c>
      <c r="H5" s="27" t="s">
        <v>42</v>
      </c>
      <c r="I5" s="25" t="s">
        <v>43</v>
      </c>
      <c r="J5" s="28"/>
      <c r="K5" s="28"/>
      <c r="L5" s="25" t="s">
        <v>44</v>
      </c>
      <c r="M5" s="29"/>
      <c r="N5" s="30"/>
    </row>
    <row r="6" spans="1:14" ht="51.75" customHeight="1">
      <c r="A6" s="31" t="s">
        <v>45</v>
      </c>
      <c r="B6" s="25" t="s">
        <v>46</v>
      </c>
      <c r="C6" s="25" t="s">
        <v>47</v>
      </c>
      <c r="D6" s="25" t="s">
        <v>48</v>
      </c>
      <c r="E6" s="25">
        <v>95930</v>
      </c>
      <c r="F6" s="26" t="s">
        <v>49</v>
      </c>
      <c r="G6" s="25" t="s">
        <v>50</v>
      </c>
      <c r="H6" s="27" t="s">
        <v>51</v>
      </c>
      <c r="I6" s="25" t="s">
        <v>52</v>
      </c>
      <c r="J6" s="28"/>
      <c r="K6" s="28"/>
      <c r="L6" s="25" t="s">
        <v>53</v>
      </c>
      <c r="M6" s="29"/>
      <c r="N6" s="30"/>
    </row>
    <row r="7" spans="1:14" ht="70.900000000000006" customHeight="1">
      <c r="A7" s="32" t="s">
        <v>54</v>
      </c>
      <c r="B7" s="25" t="s">
        <v>55</v>
      </c>
      <c r="C7" s="25" t="s">
        <v>56</v>
      </c>
      <c r="D7" s="25" t="s">
        <v>57</v>
      </c>
      <c r="E7" s="25">
        <v>96576</v>
      </c>
      <c r="F7" s="26" t="s">
        <v>58</v>
      </c>
      <c r="G7" s="25" t="s">
        <v>59</v>
      </c>
      <c r="H7" s="27" t="s">
        <v>60</v>
      </c>
      <c r="I7" s="25" t="s">
        <v>61</v>
      </c>
      <c r="J7" s="28"/>
      <c r="K7" s="28"/>
      <c r="L7" s="25" t="s">
        <v>62</v>
      </c>
      <c r="M7" s="29"/>
      <c r="N7" s="30"/>
    </row>
    <row r="8" spans="1:14" ht="47.25">
      <c r="A8" s="24" t="s">
        <v>63</v>
      </c>
      <c r="B8" s="25" t="s">
        <v>64</v>
      </c>
      <c r="C8" s="25" t="s">
        <v>65</v>
      </c>
      <c r="D8" s="25" t="s">
        <v>29</v>
      </c>
      <c r="E8" s="25">
        <v>96579</v>
      </c>
      <c r="F8" s="26" t="s">
        <v>66</v>
      </c>
      <c r="G8" s="25" t="s">
        <v>67</v>
      </c>
      <c r="H8" s="27" t="s">
        <v>68</v>
      </c>
      <c r="I8" s="25" t="s">
        <v>69</v>
      </c>
      <c r="J8" s="25">
        <v>2</v>
      </c>
      <c r="K8" s="25" t="s">
        <v>34</v>
      </c>
      <c r="L8" s="25" t="s">
        <v>70</v>
      </c>
      <c r="M8" s="33">
        <v>53056</v>
      </c>
      <c r="N8" s="30"/>
    </row>
    <row r="9" spans="1:14" ht="47.25">
      <c r="A9" s="32" t="s">
        <v>71</v>
      </c>
      <c r="B9" s="25" t="s">
        <v>72</v>
      </c>
      <c r="C9" s="25" t="s">
        <v>73</v>
      </c>
      <c r="D9" s="25" t="s">
        <v>74</v>
      </c>
      <c r="E9" s="25">
        <v>95980</v>
      </c>
      <c r="F9" s="26" t="s">
        <v>75</v>
      </c>
      <c r="G9" s="25" t="s">
        <v>76</v>
      </c>
      <c r="H9" s="27"/>
      <c r="I9" s="25" t="s">
        <v>77</v>
      </c>
      <c r="J9" s="28"/>
      <c r="K9" s="28"/>
      <c r="L9" s="25" t="str">
        <f>Tabla1344[[#This Row],[EMPRESAS]]</f>
        <v>JOSE MANUEL JIMENEZ MARTINEZ</v>
      </c>
      <c r="M9" s="29"/>
      <c r="N9" s="30"/>
    </row>
    <row r="10" spans="1:14" ht="47.25">
      <c r="A10" s="32" t="s">
        <v>78</v>
      </c>
      <c r="B10" s="25" t="s">
        <v>79</v>
      </c>
      <c r="C10" s="25" t="s">
        <v>80</v>
      </c>
      <c r="D10" s="25" t="s">
        <v>81</v>
      </c>
      <c r="E10" s="25">
        <v>96357</v>
      </c>
      <c r="F10" s="26" t="s">
        <v>82</v>
      </c>
      <c r="G10" s="25" t="s">
        <v>83</v>
      </c>
      <c r="H10" s="27" t="s">
        <v>84</v>
      </c>
      <c r="I10" s="25" t="s">
        <v>85</v>
      </c>
      <c r="J10" s="28"/>
      <c r="K10" s="28"/>
      <c r="L10" s="25" t="str">
        <f>Tabla1344[[#This Row],[EMPRESAS]]</f>
        <v>BEATRIZ TONAHERY MATEO MARTIN</v>
      </c>
      <c r="M10" s="29"/>
      <c r="N10" s="30"/>
    </row>
    <row r="11" spans="1:14" ht="47.25">
      <c r="A11" s="32" t="s">
        <v>86</v>
      </c>
      <c r="B11" s="25" t="s">
        <v>87</v>
      </c>
      <c r="C11" s="25" t="s">
        <v>88</v>
      </c>
      <c r="D11" s="25" t="s">
        <v>81</v>
      </c>
      <c r="E11" s="25">
        <v>96348</v>
      </c>
      <c r="F11" s="26" t="s">
        <v>89</v>
      </c>
      <c r="G11" s="25" t="s">
        <v>90</v>
      </c>
      <c r="H11" s="27" t="s">
        <v>91</v>
      </c>
      <c r="I11" s="25" t="s">
        <v>92</v>
      </c>
      <c r="J11" s="28"/>
      <c r="K11" s="28"/>
      <c r="L11" s="25" t="str">
        <f>Tabla1344[[#This Row],[EMPRESAS]]</f>
        <v>ADOLFO ANGEL VAZQUEZ DELGADO</v>
      </c>
      <c r="M11" s="29"/>
      <c r="N11" s="30"/>
    </row>
    <row r="12" spans="1:14" ht="63">
      <c r="A12" s="24" t="s">
        <v>93</v>
      </c>
      <c r="B12" s="25" t="s">
        <v>94</v>
      </c>
      <c r="C12" s="25" t="s">
        <v>73</v>
      </c>
      <c r="D12" s="25" t="s">
        <v>95</v>
      </c>
      <c r="E12" s="25">
        <v>95980</v>
      </c>
      <c r="F12" s="26" t="s">
        <v>96</v>
      </c>
      <c r="G12" s="25" t="s">
        <v>97</v>
      </c>
      <c r="H12" s="27" t="s">
        <v>98</v>
      </c>
      <c r="I12" s="25" t="s">
        <v>99</v>
      </c>
      <c r="J12" s="28"/>
      <c r="K12" s="28"/>
      <c r="L12" s="34" t="s">
        <v>100</v>
      </c>
      <c r="M12" s="29"/>
      <c r="N12" s="30"/>
    </row>
    <row r="13" spans="1:14" ht="47.25">
      <c r="A13" s="31" t="s">
        <v>101</v>
      </c>
      <c r="B13" s="25" t="s">
        <v>102</v>
      </c>
      <c r="C13" s="25" t="s">
        <v>38</v>
      </c>
      <c r="D13" s="25" t="s">
        <v>74</v>
      </c>
      <c r="E13" s="25">
        <v>95980</v>
      </c>
      <c r="F13" s="26" t="s">
        <v>103</v>
      </c>
      <c r="G13" s="25" t="s">
        <v>104</v>
      </c>
      <c r="H13" s="27" t="s">
        <v>105</v>
      </c>
      <c r="I13" s="25" t="s">
        <v>106</v>
      </c>
      <c r="J13" s="28"/>
      <c r="K13" s="28"/>
      <c r="L13" s="25" t="s">
        <v>107</v>
      </c>
      <c r="M13" s="29"/>
      <c r="N13" s="30"/>
    </row>
    <row r="14" spans="1:14" ht="31.5">
      <c r="A14" s="32" t="s">
        <v>108</v>
      </c>
      <c r="B14" s="25" t="s">
        <v>109</v>
      </c>
      <c r="C14" s="25" t="s">
        <v>110</v>
      </c>
      <c r="D14" s="25" t="s">
        <v>111</v>
      </c>
      <c r="E14" s="25">
        <v>95980</v>
      </c>
      <c r="F14" s="26" t="s">
        <v>112</v>
      </c>
      <c r="G14" s="25" t="s">
        <v>113</v>
      </c>
      <c r="H14" s="27" t="s">
        <v>114</v>
      </c>
      <c r="I14" s="25" t="s">
        <v>115</v>
      </c>
      <c r="J14" s="25">
        <v>7</v>
      </c>
      <c r="K14" s="25" t="s">
        <v>116</v>
      </c>
      <c r="L14" s="25" t="s">
        <v>117</v>
      </c>
      <c r="M14" s="33">
        <v>5450</v>
      </c>
      <c r="N14" s="30"/>
    </row>
    <row r="15" spans="1:14" ht="47.25">
      <c r="A15" s="32" t="s">
        <v>118</v>
      </c>
      <c r="B15" s="25" t="s">
        <v>119</v>
      </c>
      <c r="C15" s="25" t="s">
        <v>120</v>
      </c>
      <c r="D15" s="25" t="s">
        <v>121</v>
      </c>
      <c r="E15" s="25">
        <v>96420</v>
      </c>
      <c r="F15" s="26" t="s">
        <v>122</v>
      </c>
      <c r="G15" s="25" t="s">
        <v>123</v>
      </c>
      <c r="H15" s="27" t="s">
        <v>124</v>
      </c>
      <c r="I15" s="25" t="s">
        <v>125</v>
      </c>
      <c r="J15" s="25">
        <v>10</v>
      </c>
      <c r="K15" s="25" t="s">
        <v>34</v>
      </c>
      <c r="L15" s="25" t="s">
        <v>126</v>
      </c>
      <c r="M15" s="33">
        <v>10768</v>
      </c>
      <c r="N15" s="30"/>
    </row>
    <row r="16" spans="1:14" ht="47.25">
      <c r="A16" s="32" t="s">
        <v>127</v>
      </c>
      <c r="B16" s="25" t="s">
        <v>128</v>
      </c>
      <c r="C16" s="25" t="s">
        <v>129</v>
      </c>
      <c r="D16" s="25" t="s">
        <v>39</v>
      </c>
      <c r="E16" s="25">
        <v>96010</v>
      </c>
      <c r="F16" s="26" t="s">
        <v>130</v>
      </c>
      <c r="G16" s="25" t="s">
        <v>131</v>
      </c>
      <c r="H16" s="27" t="s">
        <v>132</v>
      </c>
      <c r="I16" s="25" t="s">
        <v>133</v>
      </c>
      <c r="J16" s="28"/>
      <c r="K16" s="28"/>
      <c r="L16" s="25" t="str">
        <f>Tabla1344[[#This Row],[EMPRESAS]]</f>
        <v>REYMUNDO NOLASCO PARRON</v>
      </c>
      <c r="M16" s="29"/>
      <c r="N16" s="30"/>
    </row>
    <row r="17" spans="1:14" ht="47.25">
      <c r="A17" s="32" t="s">
        <v>134</v>
      </c>
      <c r="B17" s="25" t="s">
        <v>135</v>
      </c>
      <c r="C17" s="25" t="s">
        <v>136</v>
      </c>
      <c r="D17" s="25" t="s">
        <v>39</v>
      </c>
      <c r="E17" s="25">
        <v>96010</v>
      </c>
      <c r="F17" s="26" t="s">
        <v>137</v>
      </c>
      <c r="G17" s="25" t="s">
        <v>138</v>
      </c>
      <c r="H17" s="27" t="s">
        <v>139</v>
      </c>
      <c r="I17" s="25" t="s">
        <v>140</v>
      </c>
      <c r="J17" s="28"/>
      <c r="K17" s="28"/>
      <c r="L17" s="25" t="str">
        <f>Tabla1344[[#This Row],[EMPRESAS]]</f>
        <v>NORA THELMA CRIVELLI RODRIGUEZ</v>
      </c>
      <c r="M17" s="29"/>
      <c r="N17" s="30"/>
    </row>
    <row r="18" spans="1:14" ht="31.5">
      <c r="A18" s="32" t="s">
        <v>141</v>
      </c>
      <c r="B18" s="34" t="s">
        <v>169</v>
      </c>
      <c r="C18" s="34" t="s">
        <v>170</v>
      </c>
      <c r="D18" s="34" t="s">
        <v>39</v>
      </c>
      <c r="E18" s="25">
        <v>96010</v>
      </c>
      <c r="F18" s="26" t="s">
        <v>142</v>
      </c>
      <c r="G18" s="25" t="s">
        <v>143</v>
      </c>
      <c r="H18" s="27">
        <v>28463</v>
      </c>
      <c r="I18" s="25" t="s">
        <v>144</v>
      </c>
      <c r="J18" s="35">
        <v>6</v>
      </c>
      <c r="K18" s="35" t="s">
        <v>145</v>
      </c>
      <c r="L18" s="36" t="s">
        <v>146</v>
      </c>
      <c r="M18" s="37">
        <v>22502</v>
      </c>
      <c r="N18" s="30"/>
    </row>
    <row r="19" spans="1:14" ht="47.25">
      <c r="A19" s="32" t="s">
        <v>147</v>
      </c>
      <c r="B19" s="25" t="s">
        <v>148</v>
      </c>
      <c r="C19" s="25" t="s">
        <v>149</v>
      </c>
      <c r="D19" s="25" t="s">
        <v>150</v>
      </c>
      <c r="E19" s="25">
        <v>96260</v>
      </c>
      <c r="F19" s="26" t="s">
        <v>151</v>
      </c>
      <c r="G19" s="25" t="s">
        <v>152</v>
      </c>
      <c r="H19" s="27" t="s">
        <v>153</v>
      </c>
      <c r="I19" s="25" t="s">
        <v>154</v>
      </c>
      <c r="J19" s="28"/>
      <c r="K19" s="28"/>
      <c r="L19" s="25" t="s">
        <v>147</v>
      </c>
      <c r="M19" s="29"/>
      <c r="N19" s="30"/>
    </row>
    <row r="20" spans="1:14" ht="31.5">
      <c r="A20" s="32" t="s">
        <v>155</v>
      </c>
      <c r="B20" s="25" t="s">
        <v>171</v>
      </c>
      <c r="C20" s="25" t="s">
        <v>156</v>
      </c>
      <c r="D20" s="25" t="s">
        <v>39</v>
      </c>
      <c r="E20" s="25">
        <v>96067</v>
      </c>
      <c r="F20" s="26" t="s">
        <v>157</v>
      </c>
      <c r="G20" s="25" t="s">
        <v>158</v>
      </c>
      <c r="H20" s="27" t="s">
        <v>159</v>
      </c>
      <c r="I20" s="25" t="s">
        <v>160</v>
      </c>
      <c r="J20" s="28"/>
      <c r="K20" s="28"/>
      <c r="L20" s="25" t="str">
        <f>Tabla1344[[#This Row],[EMPRESAS]]</f>
        <v>GEORGINA AGUIRRE GARCIA</v>
      </c>
      <c r="M20" s="29"/>
      <c r="N20" s="30"/>
    </row>
    <row r="21" spans="1:14" ht="47.25">
      <c r="A21" s="32" t="s">
        <v>161</v>
      </c>
      <c r="B21" s="25" t="s">
        <v>162</v>
      </c>
      <c r="C21" s="25" t="s">
        <v>163</v>
      </c>
      <c r="D21" s="25" t="s">
        <v>39</v>
      </c>
      <c r="E21" s="25">
        <v>96055</v>
      </c>
      <c r="F21" s="26" t="s">
        <v>164</v>
      </c>
      <c r="G21" s="25" t="s">
        <v>165</v>
      </c>
      <c r="H21" s="27" t="s">
        <v>166</v>
      </c>
      <c r="I21" s="25" t="s">
        <v>167</v>
      </c>
      <c r="J21" s="25">
        <v>2</v>
      </c>
      <c r="K21" s="25" t="s">
        <v>39</v>
      </c>
      <c r="L21" s="25" t="s">
        <v>168</v>
      </c>
      <c r="M21" s="33">
        <v>9011</v>
      </c>
      <c r="N21" s="30"/>
    </row>
    <row r="22" spans="1:14" ht="31.5">
      <c r="A22" s="32" t="s">
        <v>172</v>
      </c>
      <c r="B22" s="25" t="s">
        <v>173</v>
      </c>
      <c r="C22" s="25" t="s">
        <v>174</v>
      </c>
      <c r="D22" s="25" t="s">
        <v>81</v>
      </c>
      <c r="E22" s="25">
        <v>96340</v>
      </c>
      <c r="F22" s="26" t="s">
        <v>175</v>
      </c>
      <c r="G22" s="25" t="s">
        <v>176</v>
      </c>
      <c r="H22" s="27" t="s">
        <v>177</v>
      </c>
      <c r="I22" s="25" t="s">
        <v>178</v>
      </c>
      <c r="J22" s="25">
        <v>10</v>
      </c>
      <c r="K22" s="25" t="s">
        <v>34</v>
      </c>
      <c r="L22" s="25" t="s">
        <v>179</v>
      </c>
      <c r="M22" s="33">
        <v>14783</v>
      </c>
      <c r="N22" s="30"/>
    </row>
    <row r="23" spans="1:14" ht="47.25">
      <c r="A23" s="32" t="s">
        <v>180</v>
      </c>
      <c r="B23" s="25" t="s">
        <v>181</v>
      </c>
      <c r="C23" s="25" t="s">
        <v>182</v>
      </c>
      <c r="D23" s="25" t="s">
        <v>48</v>
      </c>
      <c r="E23" s="25">
        <v>95930</v>
      </c>
      <c r="F23" s="26" t="s">
        <v>183</v>
      </c>
      <c r="G23" s="25" t="s">
        <v>210</v>
      </c>
      <c r="H23" s="27" t="s">
        <v>211</v>
      </c>
      <c r="I23" s="25" t="s">
        <v>184</v>
      </c>
      <c r="J23" s="28"/>
      <c r="K23" s="28"/>
      <c r="L23" s="25" t="str">
        <f>A23</f>
        <v>SURIEL VICENTE HERNANDEZ SALAS</v>
      </c>
      <c r="M23" s="29"/>
      <c r="N23" s="30"/>
    </row>
    <row r="24" spans="1:14" ht="31.5">
      <c r="A24" s="32" t="s">
        <v>185</v>
      </c>
      <c r="B24" s="25" t="s">
        <v>186</v>
      </c>
      <c r="C24" s="25" t="s">
        <v>187</v>
      </c>
      <c r="D24" s="25" t="s">
        <v>39</v>
      </c>
      <c r="E24" s="25">
        <v>96049</v>
      </c>
      <c r="F24" s="26" t="s">
        <v>188</v>
      </c>
      <c r="G24" s="25" t="s">
        <v>189</v>
      </c>
      <c r="H24" s="27" t="s">
        <v>190</v>
      </c>
      <c r="I24" s="25" t="s">
        <v>191</v>
      </c>
      <c r="J24" s="28"/>
      <c r="K24" s="28"/>
      <c r="L24" s="25" t="str">
        <f>Tabla1344[[#This Row],[EMPRESAS]]</f>
        <v>ANA GABRIELA LOPEZ PALACIOS</v>
      </c>
      <c r="M24" s="29"/>
      <c r="N24" s="30"/>
    </row>
    <row r="25" spans="1:14" ht="63">
      <c r="A25" s="32" t="s">
        <v>192</v>
      </c>
      <c r="B25" s="25" t="s">
        <v>102</v>
      </c>
      <c r="C25" s="25" t="s">
        <v>38</v>
      </c>
      <c r="D25" s="25" t="s">
        <v>74</v>
      </c>
      <c r="E25" s="25">
        <v>95980</v>
      </c>
      <c r="F25" s="26" t="s">
        <v>193</v>
      </c>
      <c r="G25" s="25" t="s">
        <v>194</v>
      </c>
      <c r="H25" s="27" t="s">
        <v>195</v>
      </c>
      <c r="I25" s="25" t="s">
        <v>196</v>
      </c>
      <c r="J25" s="25">
        <v>7</v>
      </c>
      <c r="K25" s="25" t="s">
        <v>116</v>
      </c>
      <c r="L25" s="25" t="s">
        <v>197</v>
      </c>
      <c r="M25" s="33">
        <v>3151</v>
      </c>
      <c r="N25" s="30"/>
    </row>
    <row r="26" spans="1:14" ht="31.5">
      <c r="A26" s="32" t="s">
        <v>198</v>
      </c>
      <c r="B26" s="25" t="s">
        <v>199</v>
      </c>
      <c r="C26" s="25" t="s">
        <v>200</v>
      </c>
      <c r="D26" s="25" t="s">
        <v>39</v>
      </c>
      <c r="E26" s="25">
        <v>96020</v>
      </c>
      <c r="F26" s="26" t="s">
        <v>201</v>
      </c>
      <c r="G26" s="25" t="s">
        <v>202</v>
      </c>
      <c r="H26" s="27" t="s">
        <v>203</v>
      </c>
      <c r="I26" s="25" t="s">
        <v>204</v>
      </c>
      <c r="J26" s="28"/>
      <c r="K26" s="28"/>
      <c r="L26" s="25" t="str">
        <f>Tabla1344[[#This Row],[EMPRESAS]]</f>
        <v>JUAN ALFONSO GARCIA URRESTI</v>
      </c>
      <c r="M26" s="29"/>
      <c r="N26" s="30"/>
    </row>
    <row r="27" spans="1:14" ht="31.5">
      <c r="A27" s="32" t="s">
        <v>212</v>
      </c>
      <c r="B27" s="25" t="s">
        <v>213</v>
      </c>
      <c r="C27" s="25" t="s">
        <v>214</v>
      </c>
      <c r="D27" s="25" t="s">
        <v>215</v>
      </c>
      <c r="E27" s="25">
        <v>96170</v>
      </c>
      <c r="F27" s="26" t="s">
        <v>216</v>
      </c>
      <c r="G27" s="25" t="s">
        <v>217</v>
      </c>
      <c r="H27" s="27" t="s">
        <v>218</v>
      </c>
      <c r="I27" s="25" t="s">
        <v>219</v>
      </c>
      <c r="J27" s="28"/>
      <c r="K27" s="28"/>
      <c r="L27" s="25" t="str">
        <f>Tabla1344[[#This Row],[EMPRESAS]]</f>
        <v>JORGE LUIS SANCHEZ MAYA</v>
      </c>
      <c r="M27" s="29"/>
      <c r="N27" s="38">
        <v>44083</v>
      </c>
    </row>
    <row r="28" spans="1:14" ht="47.25">
      <c r="A28" s="31" t="s">
        <v>206</v>
      </c>
      <c r="B28" s="25" t="s">
        <v>220</v>
      </c>
      <c r="C28" s="25" t="s">
        <v>221</v>
      </c>
      <c r="D28" s="25" t="s">
        <v>208</v>
      </c>
      <c r="E28" s="25">
        <v>95900</v>
      </c>
      <c r="F28" s="25" t="s">
        <v>222</v>
      </c>
      <c r="G28" s="25" t="s">
        <v>223</v>
      </c>
      <c r="H28" s="27" t="s">
        <v>224</v>
      </c>
      <c r="I28" s="25" t="s">
        <v>225</v>
      </c>
      <c r="J28" s="28"/>
      <c r="K28" s="28"/>
      <c r="L28" s="25" t="s">
        <v>226</v>
      </c>
      <c r="M28" s="29"/>
      <c r="N28" s="38">
        <v>44078</v>
      </c>
    </row>
    <row r="29" spans="1:14" ht="63">
      <c r="A29" s="32" t="s">
        <v>207</v>
      </c>
      <c r="B29" s="25" t="s">
        <v>227</v>
      </c>
      <c r="C29" s="25" t="s">
        <v>228</v>
      </c>
      <c r="D29" s="25" t="s">
        <v>229</v>
      </c>
      <c r="E29" s="25">
        <v>96717</v>
      </c>
      <c r="F29" s="26" t="s">
        <v>230</v>
      </c>
      <c r="G29" s="25" t="s">
        <v>231</v>
      </c>
      <c r="H29" s="27" t="s">
        <v>232</v>
      </c>
      <c r="I29" s="25" t="s">
        <v>233</v>
      </c>
      <c r="J29" s="25">
        <v>10</v>
      </c>
      <c r="K29" s="25" t="s">
        <v>34</v>
      </c>
      <c r="L29" s="25" t="s">
        <v>234</v>
      </c>
      <c r="M29" s="33">
        <v>13895</v>
      </c>
      <c r="N29" s="30"/>
    </row>
    <row r="30" spans="1:14" ht="78.75">
      <c r="A30" s="39" t="s">
        <v>235</v>
      </c>
      <c r="B30" s="40" t="s">
        <v>236</v>
      </c>
      <c r="C30" s="40" t="s">
        <v>200</v>
      </c>
      <c r="D30" s="40" t="s">
        <v>121</v>
      </c>
      <c r="E30" s="40">
        <v>96387</v>
      </c>
      <c r="F30" s="41" t="s">
        <v>237</v>
      </c>
      <c r="G30" s="40" t="s">
        <v>238</v>
      </c>
      <c r="H30" s="42" t="s">
        <v>239</v>
      </c>
      <c r="I30" s="40" t="s">
        <v>240</v>
      </c>
      <c r="J30" s="40">
        <v>10</v>
      </c>
      <c r="K30" s="40" t="s">
        <v>34</v>
      </c>
      <c r="L30" s="40" t="s">
        <v>241</v>
      </c>
      <c r="M30" s="43">
        <v>14754</v>
      </c>
      <c r="N30" s="44">
        <v>44118</v>
      </c>
    </row>
    <row r="31" spans="1:14" ht="47.25">
      <c r="A31" s="45" t="s">
        <v>242</v>
      </c>
      <c r="B31" s="46" t="s">
        <v>243</v>
      </c>
      <c r="C31" s="46" t="s">
        <v>244</v>
      </c>
      <c r="D31" s="46" t="s">
        <v>121</v>
      </c>
      <c r="E31" s="46">
        <v>96535</v>
      </c>
      <c r="F31" s="47" t="s">
        <v>245</v>
      </c>
      <c r="G31" s="46" t="s">
        <v>246</v>
      </c>
      <c r="H31" s="48" t="s">
        <v>247</v>
      </c>
      <c r="I31" s="46" t="s">
        <v>248</v>
      </c>
      <c r="J31" s="46">
        <v>10</v>
      </c>
      <c r="K31" s="46" t="s">
        <v>34</v>
      </c>
      <c r="L31" s="46" t="s">
        <v>249</v>
      </c>
      <c r="M31" s="49">
        <v>14813</v>
      </c>
      <c r="N31" s="44">
        <v>44118</v>
      </c>
    </row>
  </sheetData>
  <mergeCells count="1">
    <mergeCell ref="A1:M2"/>
  </mergeCells>
  <pageMargins left="0.234375" right="0.15625" top="0.35433070866141736" bottom="0.35433070866141736" header="0.31496062992125984" footer="0.31496062992125984"/>
  <pageSetup scale="75" orientation="landscape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34"/>
  <sheetViews>
    <sheetView tabSelected="1" view="pageBreakPreview" zoomScale="70" zoomScaleNormal="90" zoomScaleSheetLayoutView="70" workbookViewId="0">
      <selection activeCell="A4" sqref="A4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73" customWidth="1"/>
    <col min="9" max="9" width="16.28515625" style="9" customWidth="1"/>
    <col min="10" max="10" width="10.8554687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01" t="s">
        <v>360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 ht="18" customHeight="1">
      <c r="A2" s="101" t="s">
        <v>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8" customHeight="1">
      <c r="A3" s="101" t="s">
        <v>361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18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6" spans="1:13" s="3" customFormat="1" ht="60">
      <c r="A6" s="75" t="s">
        <v>0</v>
      </c>
      <c r="B6" s="75" t="s">
        <v>3</v>
      </c>
      <c r="C6" s="75" t="s">
        <v>12</v>
      </c>
      <c r="D6" s="75" t="s">
        <v>4</v>
      </c>
      <c r="E6" s="75" t="s">
        <v>10</v>
      </c>
      <c r="F6" s="75" t="s">
        <v>5</v>
      </c>
      <c r="G6" s="75" t="s">
        <v>1</v>
      </c>
      <c r="H6" s="76" t="s">
        <v>6</v>
      </c>
      <c r="I6" s="76" t="s">
        <v>7</v>
      </c>
      <c r="J6" s="102" t="s">
        <v>11</v>
      </c>
      <c r="K6" s="103"/>
      <c r="L6" s="75" t="s">
        <v>8</v>
      </c>
      <c r="M6" s="77" t="s">
        <v>2</v>
      </c>
    </row>
    <row r="7" spans="1:13" s="5" customFormat="1" ht="33" customHeight="1">
      <c r="A7" s="81"/>
      <c r="B7" s="82"/>
      <c r="C7" s="81"/>
      <c r="D7" s="59"/>
      <c r="E7" s="80"/>
      <c r="F7" s="82"/>
      <c r="G7" s="79"/>
      <c r="H7" s="104"/>
      <c r="I7" s="105"/>
      <c r="J7" s="6"/>
      <c r="K7" s="60"/>
      <c r="L7" s="106"/>
      <c r="M7" s="107"/>
    </row>
    <row r="8" spans="1:13" s="5" customFormat="1" ht="33.75" customHeight="1">
      <c r="A8" s="81"/>
      <c r="B8" s="80"/>
      <c r="C8" s="81"/>
      <c r="D8" s="59"/>
      <c r="E8" s="80"/>
      <c r="F8" s="82"/>
      <c r="G8" s="80"/>
      <c r="H8" s="104"/>
      <c r="I8" s="105"/>
      <c r="J8" s="6"/>
      <c r="K8" s="60"/>
      <c r="L8" s="81"/>
      <c r="M8" s="107"/>
    </row>
    <row r="9" spans="1:13" s="5" customFormat="1" ht="33.75" customHeight="1">
      <c r="A9" s="81"/>
      <c r="B9" s="80"/>
      <c r="C9" s="81"/>
      <c r="D9" s="59"/>
      <c r="E9" s="80"/>
      <c r="F9" s="82"/>
      <c r="G9" s="80"/>
      <c r="H9" s="104"/>
      <c r="I9" s="105"/>
      <c r="J9" s="6"/>
      <c r="K9" s="61"/>
      <c r="L9" s="81"/>
      <c r="M9" s="107"/>
    </row>
    <row r="10" spans="1:13" s="5" customFormat="1" ht="33" customHeight="1">
      <c r="A10" s="108"/>
      <c r="B10" s="86"/>
      <c r="C10" s="108"/>
      <c r="D10" s="59"/>
      <c r="E10" s="83"/>
      <c r="F10" s="86"/>
      <c r="G10" s="79"/>
      <c r="H10" s="89"/>
      <c r="I10" s="92"/>
      <c r="J10" s="62"/>
      <c r="K10" s="60"/>
      <c r="L10" s="95"/>
      <c r="M10" s="98"/>
    </row>
    <row r="11" spans="1:13" s="5" customFormat="1" ht="33.75" customHeight="1">
      <c r="A11" s="109"/>
      <c r="B11" s="87"/>
      <c r="C11" s="109"/>
      <c r="D11" s="59"/>
      <c r="E11" s="84"/>
      <c r="F11" s="87"/>
      <c r="G11" s="80"/>
      <c r="H11" s="90"/>
      <c r="I11" s="93"/>
      <c r="J11" s="6"/>
      <c r="K11" s="60"/>
      <c r="L11" s="96"/>
      <c r="M11" s="99"/>
    </row>
    <row r="12" spans="1:13" s="5" customFormat="1" ht="33.75" customHeight="1">
      <c r="A12" s="110"/>
      <c r="B12" s="88"/>
      <c r="C12" s="110"/>
      <c r="D12" s="59"/>
      <c r="E12" s="85"/>
      <c r="F12" s="88"/>
      <c r="G12" s="80"/>
      <c r="H12" s="91"/>
      <c r="I12" s="94"/>
      <c r="J12" s="6"/>
      <c r="K12" s="60"/>
      <c r="L12" s="97"/>
      <c r="M12" s="100"/>
    </row>
    <row r="13" spans="1:13" s="5" customFormat="1" ht="33" customHeight="1">
      <c r="A13" s="81"/>
      <c r="B13" s="82"/>
      <c r="C13" s="81"/>
      <c r="D13" s="59"/>
      <c r="E13" s="80"/>
      <c r="F13" s="82"/>
      <c r="G13" s="79"/>
      <c r="H13" s="104"/>
      <c r="I13" s="105"/>
      <c r="J13" s="6"/>
      <c r="K13" s="60"/>
      <c r="L13" s="106"/>
      <c r="M13" s="107"/>
    </row>
    <row r="14" spans="1:13" s="5" customFormat="1" ht="33.75" customHeight="1">
      <c r="A14" s="81"/>
      <c r="B14" s="80"/>
      <c r="C14" s="81"/>
      <c r="D14" s="59"/>
      <c r="E14" s="80"/>
      <c r="F14" s="82"/>
      <c r="G14" s="80"/>
      <c r="H14" s="104"/>
      <c r="I14" s="105"/>
      <c r="J14" s="6"/>
      <c r="K14" s="60"/>
      <c r="L14" s="81"/>
      <c r="M14" s="107"/>
    </row>
    <row r="15" spans="1:13" s="5" customFormat="1" ht="33.75" customHeight="1">
      <c r="A15" s="81"/>
      <c r="B15" s="80"/>
      <c r="C15" s="81"/>
      <c r="D15" s="59"/>
      <c r="E15" s="80"/>
      <c r="F15" s="82"/>
      <c r="G15" s="80"/>
      <c r="H15" s="104"/>
      <c r="I15" s="105"/>
      <c r="J15" s="6"/>
      <c r="K15" s="61"/>
      <c r="L15" s="81"/>
      <c r="M15" s="107"/>
    </row>
    <row r="16" spans="1:13" s="5" customFormat="1" ht="33" customHeight="1">
      <c r="A16" s="108"/>
      <c r="B16" s="86"/>
      <c r="C16" s="108"/>
      <c r="D16" s="59"/>
      <c r="E16" s="83"/>
      <c r="F16" s="86"/>
      <c r="G16" s="79"/>
      <c r="H16" s="89"/>
      <c r="I16" s="92"/>
      <c r="J16" s="62"/>
      <c r="K16" s="60"/>
      <c r="L16" s="95"/>
      <c r="M16" s="98"/>
    </row>
    <row r="17" spans="1:13" s="5" customFormat="1" ht="33.75" customHeight="1">
      <c r="A17" s="109"/>
      <c r="B17" s="87"/>
      <c r="C17" s="109"/>
      <c r="D17" s="59"/>
      <c r="E17" s="84"/>
      <c r="F17" s="87"/>
      <c r="G17" s="80"/>
      <c r="H17" s="90"/>
      <c r="I17" s="93"/>
      <c r="J17" s="6"/>
      <c r="K17" s="60"/>
      <c r="L17" s="96"/>
      <c r="M17" s="99"/>
    </row>
    <row r="18" spans="1:13" s="5" customFormat="1" ht="33.75" customHeight="1">
      <c r="A18" s="110"/>
      <c r="B18" s="88"/>
      <c r="C18" s="110"/>
      <c r="D18" s="59"/>
      <c r="E18" s="85"/>
      <c r="F18" s="88"/>
      <c r="G18" s="80"/>
      <c r="H18" s="91"/>
      <c r="I18" s="94"/>
      <c r="J18" s="6"/>
      <c r="K18" s="60"/>
      <c r="L18" s="97"/>
      <c r="M18" s="100"/>
    </row>
    <row r="19" spans="1:13" s="5" customFormat="1" ht="33.6" customHeight="1">
      <c r="A19" s="50"/>
      <c r="B19" s="51"/>
      <c r="C19" s="50"/>
      <c r="D19" s="52"/>
      <c r="E19" s="51"/>
      <c r="F19" s="53"/>
      <c r="G19" s="51"/>
      <c r="H19" s="72"/>
      <c r="I19" s="55"/>
      <c r="J19" s="56"/>
      <c r="K19" s="57"/>
      <c r="L19" s="50"/>
      <c r="M19" s="58"/>
    </row>
    <row r="20" spans="1:13" s="5" customFormat="1" ht="33.6" customHeight="1">
      <c r="A20" s="1"/>
      <c r="B20" s="1"/>
      <c r="C20" s="1"/>
      <c r="D20" s="1"/>
      <c r="E20" s="1"/>
      <c r="F20" s="1"/>
      <c r="G20" s="1"/>
      <c r="H20" s="73"/>
      <c r="I20" s="9"/>
      <c r="J20" s="1"/>
      <c r="K20"/>
      <c r="L20" s="1"/>
      <c r="M20" s="1"/>
    </row>
    <row r="21" spans="1:13" s="5" customFormat="1" ht="33.6" customHeight="1">
      <c r="A21" s="1"/>
      <c r="B21" s="1"/>
      <c r="C21" s="1"/>
      <c r="D21" s="1"/>
      <c r="E21" s="1"/>
      <c r="F21" s="1"/>
      <c r="G21" s="1"/>
      <c r="H21" s="73"/>
      <c r="I21" s="9"/>
      <c r="J21" s="1"/>
      <c r="K21"/>
      <c r="L21" s="1"/>
      <c r="M21" s="1"/>
    </row>
    <row r="22" spans="1:13" s="5" customFormat="1" ht="33.6" customHeight="1">
      <c r="A22" s="1"/>
      <c r="B22" s="1"/>
      <c r="C22" s="1"/>
      <c r="D22" s="1"/>
      <c r="E22" s="1"/>
      <c r="F22" s="1"/>
      <c r="G22" s="1"/>
      <c r="H22" s="73"/>
      <c r="I22" s="9"/>
      <c r="J22" s="1"/>
      <c r="K22" s="8"/>
      <c r="L22" s="1"/>
      <c r="M22" s="1"/>
    </row>
    <row r="23" spans="1:13" s="5" customFormat="1" ht="33.6" customHeight="1">
      <c r="A23" s="1"/>
      <c r="B23" s="1"/>
      <c r="C23" s="1"/>
      <c r="D23" s="1"/>
      <c r="E23" s="1"/>
      <c r="F23" s="1"/>
      <c r="G23" s="1"/>
      <c r="H23" s="73"/>
      <c r="I23" s="9"/>
      <c r="J23" s="1"/>
      <c r="K23" s="8"/>
      <c r="L23" s="1"/>
      <c r="M23" s="1"/>
    </row>
    <row r="24" spans="1:13" s="5" customFormat="1" ht="33.6" customHeight="1">
      <c r="A24" s="1"/>
      <c r="B24" s="1"/>
      <c r="C24" s="1"/>
      <c r="D24" s="1"/>
      <c r="E24" s="1"/>
      <c r="F24" s="1"/>
      <c r="G24" s="1"/>
      <c r="H24" s="73"/>
      <c r="I24" s="9"/>
      <c r="J24" s="1"/>
      <c r="K24" s="8"/>
      <c r="L24" s="1"/>
      <c r="M24" s="1"/>
    </row>
    <row r="25" spans="1:13" s="5" customFormat="1" ht="33.6" customHeight="1">
      <c r="A25" s="1"/>
      <c r="B25" s="1"/>
      <c r="C25" s="1"/>
      <c r="D25" s="1"/>
      <c r="E25" s="1"/>
      <c r="F25" s="1"/>
      <c r="G25" s="1"/>
      <c r="H25" s="73"/>
      <c r="I25" s="9"/>
      <c r="J25" s="1"/>
      <c r="K25" s="8"/>
      <c r="L25" s="1"/>
      <c r="M25" s="1"/>
    </row>
    <row r="26" spans="1:13" s="5" customFormat="1" ht="33.6" customHeight="1">
      <c r="A26" s="1"/>
      <c r="B26" s="1"/>
      <c r="C26" s="1"/>
      <c r="D26" s="1"/>
      <c r="E26" s="1"/>
      <c r="F26" s="1"/>
      <c r="G26" s="1"/>
      <c r="H26" s="73"/>
      <c r="I26" s="9"/>
      <c r="J26" s="1"/>
      <c r="K26" s="8"/>
      <c r="L26" s="1"/>
      <c r="M26" s="1"/>
    </row>
    <row r="27" spans="1:13" s="5" customFormat="1" ht="33.6" customHeight="1">
      <c r="A27" s="1"/>
      <c r="B27" s="1"/>
      <c r="C27" s="1"/>
      <c r="D27" s="1"/>
      <c r="E27" s="1"/>
      <c r="F27" s="1"/>
      <c r="G27" s="1"/>
      <c r="H27" s="73"/>
      <c r="I27" s="9"/>
      <c r="J27" s="1"/>
      <c r="K27" s="8"/>
      <c r="L27" s="1"/>
      <c r="M27" s="1"/>
    </row>
    <row r="28" spans="1:13" s="5" customFormat="1" ht="33.6" customHeight="1">
      <c r="A28" s="1"/>
      <c r="B28" s="1"/>
      <c r="C28" s="1"/>
      <c r="D28" s="1"/>
      <c r="E28" s="1"/>
      <c r="F28" s="1"/>
      <c r="G28" s="1"/>
      <c r="H28" s="73"/>
      <c r="I28" s="9"/>
      <c r="J28" s="1"/>
      <c r="K28" s="8"/>
      <c r="L28" s="1"/>
      <c r="M28" s="1"/>
    </row>
    <row r="29" spans="1:13" s="5" customFormat="1" ht="33.6" customHeight="1">
      <c r="A29" s="1"/>
      <c r="B29" s="1"/>
      <c r="C29" s="1"/>
      <c r="D29" s="1"/>
      <c r="E29" s="1"/>
      <c r="F29" s="1"/>
      <c r="G29" s="1"/>
      <c r="H29" s="73"/>
      <c r="I29" s="9"/>
      <c r="J29" s="1"/>
      <c r="K29" s="8"/>
      <c r="L29" s="1"/>
      <c r="M29" s="1"/>
    </row>
    <row r="30" spans="1:13" s="5" customFormat="1" ht="33.6" customHeight="1">
      <c r="A30" s="1"/>
      <c r="B30" s="1"/>
      <c r="C30" s="1"/>
      <c r="D30" s="1"/>
      <c r="E30" s="1"/>
      <c r="F30" s="1"/>
      <c r="G30" s="1"/>
      <c r="H30" s="73"/>
      <c r="I30" s="9"/>
      <c r="J30" s="1"/>
      <c r="K30" s="8"/>
      <c r="L30" s="1"/>
      <c r="M30" s="1"/>
    </row>
    <row r="31" spans="1:13" s="5" customFormat="1" ht="33.6" customHeight="1">
      <c r="A31" s="1"/>
      <c r="B31" s="1"/>
      <c r="C31" s="1"/>
      <c r="D31" s="1"/>
      <c r="E31" s="1"/>
      <c r="F31" s="1"/>
      <c r="G31" s="1"/>
      <c r="H31" s="73"/>
      <c r="I31" s="9"/>
      <c r="J31" s="1"/>
      <c r="K31" s="8"/>
      <c r="L31" s="1"/>
      <c r="M31" s="1"/>
    </row>
    <row r="32" spans="1:13" s="5" customFormat="1" ht="33.6" customHeight="1">
      <c r="A32" s="1"/>
      <c r="B32" s="1"/>
      <c r="C32" s="1"/>
      <c r="D32" s="1"/>
      <c r="E32" s="1"/>
      <c r="F32" s="1"/>
      <c r="G32" s="1"/>
      <c r="H32" s="73"/>
      <c r="I32" s="9"/>
      <c r="J32" s="1"/>
      <c r="K32" s="8"/>
      <c r="L32" s="1"/>
      <c r="M32" s="1"/>
    </row>
    <row r="33" spans="1:14" s="5" customFormat="1" ht="33.6" customHeight="1">
      <c r="A33" s="1"/>
      <c r="B33" s="1"/>
      <c r="C33" s="1"/>
      <c r="D33" s="1"/>
      <c r="E33" s="1"/>
      <c r="F33" s="1"/>
      <c r="G33" s="1"/>
      <c r="H33" s="73"/>
      <c r="I33" s="9"/>
      <c r="J33" s="1"/>
      <c r="K33" s="8"/>
      <c r="L33" s="1"/>
      <c r="M33" s="1"/>
    </row>
    <row r="34" spans="1:14" s="5" customFormat="1" ht="33.6" customHeight="1">
      <c r="A34" s="1"/>
      <c r="B34" s="1"/>
      <c r="C34" s="1"/>
      <c r="D34" s="1"/>
      <c r="E34" s="1"/>
      <c r="F34" s="1"/>
      <c r="G34" s="1"/>
      <c r="H34" s="73"/>
      <c r="I34" s="9"/>
      <c r="J34" s="1"/>
      <c r="K34" s="8"/>
      <c r="L34" s="1"/>
      <c r="M34" s="1"/>
    </row>
    <row r="35" spans="1:14" s="5" customFormat="1" ht="33.6" customHeight="1">
      <c r="A35" s="1"/>
      <c r="B35" s="1"/>
      <c r="C35" s="1"/>
      <c r="D35" s="1"/>
      <c r="E35" s="1"/>
      <c r="F35" s="1"/>
      <c r="G35" s="1"/>
      <c r="H35" s="73"/>
      <c r="I35" s="9"/>
      <c r="J35" s="1"/>
      <c r="K35" s="8"/>
      <c r="L35" s="1"/>
      <c r="M35" s="1"/>
    </row>
    <row r="36" spans="1:14" s="5" customFormat="1" ht="33.6" customHeight="1">
      <c r="A36" s="1"/>
      <c r="B36" s="1"/>
      <c r="C36" s="1"/>
      <c r="D36" s="1"/>
      <c r="E36" s="1"/>
      <c r="F36" s="1"/>
      <c r="G36" s="1"/>
      <c r="H36" s="73"/>
      <c r="I36" s="9"/>
      <c r="J36" s="1"/>
      <c r="K36" s="8"/>
      <c r="L36" s="1"/>
      <c r="M36" s="1"/>
    </row>
    <row r="37" spans="1:14" s="5" customFormat="1" ht="33.6" customHeight="1">
      <c r="A37" s="1"/>
      <c r="B37" s="1"/>
      <c r="C37" s="1"/>
      <c r="D37" s="1"/>
      <c r="E37" s="1"/>
      <c r="F37" s="1"/>
      <c r="G37" s="1"/>
      <c r="H37" s="73"/>
      <c r="I37" s="9"/>
      <c r="J37" s="1"/>
      <c r="K37" s="8"/>
      <c r="L37" s="1"/>
      <c r="M37" s="1"/>
    </row>
    <row r="38" spans="1:14" s="5" customFormat="1" ht="33.6" customHeight="1">
      <c r="A38" s="1"/>
      <c r="B38" s="1"/>
      <c r="C38" s="1"/>
      <c r="D38" s="1"/>
      <c r="E38" s="1"/>
      <c r="F38" s="1"/>
      <c r="G38" s="1"/>
      <c r="H38" s="73"/>
      <c r="I38" s="9"/>
      <c r="J38" s="1"/>
      <c r="K38" s="8"/>
      <c r="L38" s="1"/>
      <c r="M38" s="1"/>
    </row>
    <row r="39" spans="1:14" s="5" customFormat="1" ht="33.6" customHeight="1">
      <c r="A39" s="1"/>
      <c r="B39" s="1"/>
      <c r="C39" s="1"/>
      <c r="D39" s="1"/>
      <c r="E39" s="1"/>
      <c r="F39" s="1"/>
      <c r="G39" s="1"/>
      <c r="H39" s="73"/>
      <c r="I39" s="9"/>
      <c r="J39" s="1"/>
      <c r="K39" s="8"/>
      <c r="L39" s="1"/>
      <c r="M39" s="1"/>
    </row>
    <row r="40" spans="1:14" s="5" customFormat="1" ht="33.6" customHeight="1">
      <c r="A40" s="1"/>
      <c r="B40" s="1"/>
      <c r="C40" s="1"/>
      <c r="D40" s="1"/>
      <c r="E40" s="1"/>
      <c r="F40" s="1"/>
      <c r="G40" s="1"/>
      <c r="H40" s="73"/>
      <c r="I40" s="9"/>
      <c r="J40" s="1"/>
      <c r="K40" s="8"/>
      <c r="L40" s="1"/>
      <c r="M40" s="1"/>
    </row>
    <row r="41" spans="1:14" s="5" customFormat="1" ht="33.6" customHeight="1">
      <c r="A41" s="1"/>
      <c r="B41" s="1"/>
      <c r="C41" s="1"/>
      <c r="D41" s="1"/>
      <c r="E41" s="1"/>
      <c r="F41" s="1"/>
      <c r="G41" s="1"/>
      <c r="H41" s="73"/>
      <c r="I41" s="9"/>
      <c r="J41" s="1"/>
      <c r="K41" s="8"/>
      <c r="L41" s="1"/>
      <c r="M41" s="1"/>
    </row>
    <row r="42" spans="1:14" s="5" customFormat="1" ht="33.6" customHeight="1">
      <c r="A42" s="1"/>
      <c r="B42" s="1"/>
      <c r="C42" s="1"/>
      <c r="D42" s="1"/>
      <c r="E42" s="1"/>
      <c r="F42" s="1"/>
      <c r="G42" s="1"/>
      <c r="H42" s="73"/>
      <c r="I42" s="9"/>
      <c r="J42" s="1"/>
      <c r="K42" s="8"/>
      <c r="L42" s="1"/>
      <c r="M42" s="1"/>
      <c r="N42" s="1"/>
    </row>
    <row r="43" spans="1:14" s="5" customFormat="1" ht="33.6" customHeight="1">
      <c r="A43" s="1"/>
      <c r="B43" s="1"/>
      <c r="C43" s="1"/>
      <c r="D43" s="1"/>
      <c r="E43" s="1"/>
      <c r="F43" s="1"/>
      <c r="G43" s="1"/>
      <c r="H43" s="73"/>
      <c r="I43" s="9"/>
      <c r="J43" s="1"/>
      <c r="K43" s="8"/>
      <c r="L43" s="1"/>
      <c r="M43" s="1"/>
      <c r="N43" s="1"/>
    </row>
    <row r="44" spans="1:14" s="5" customFormat="1" ht="33.6" customHeight="1">
      <c r="A44" s="1"/>
      <c r="B44" s="1"/>
      <c r="C44" s="1"/>
      <c r="D44" s="1"/>
      <c r="E44" s="1"/>
      <c r="F44" s="1"/>
      <c r="G44" s="1"/>
      <c r="H44" s="73"/>
      <c r="I44" s="9"/>
      <c r="J44" s="1"/>
      <c r="K44" s="8"/>
      <c r="L44" s="1"/>
      <c r="M44" s="1"/>
      <c r="N44" s="1"/>
    </row>
    <row r="45" spans="1:14" s="5" customFormat="1" ht="33.6" customHeight="1">
      <c r="A45" s="1"/>
      <c r="B45" s="1"/>
      <c r="C45" s="1"/>
      <c r="D45" s="1"/>
      <c r="E45" s="1"/>
      <c r="F45" s="1"/>
      <c r="G45" s="1"/>
      <c r="H45" s="73"/>
      <c r="I45" s="9"/>
      <c r="J45" s="1"/>
      <c r="K45" s="8"/>
      <c r="L45" s="1"/>
      <c r="M45" s="1"/>
      <c r="N45" s="1"/>
    </row>
    <row r="46" spans="1:14" s="5" customFormat="1" ht="33.6" customHeight="1">
      <c r="A46" s="1"/>
      <c r="B46" s="1"/>
      <c r="C46" s="1"/>
      <c r="D46" s="1"/>
      <c r="E46" s="1"/>
      <c r="F46" s="1"/>
      <c r="G46" s="1"/>
      <c r="H46" s="73"/>
      <c r="I46" s="9"/>
      <c r="J46" s="1"/>
      <c r="K46" s="8"/>
      <c r="L46" s="1"/>
      <c r="M46" s="1"/>
      <c r="N46" s="1"/>
    </row>
    <row r="47" spans="1:14" s="5" customFormat="1" ht="33.6" customHeight="1">
      <c r="A47" s="1"/>
      <c r="B47" s="1"/>
      <c r="C47" s="1"/>
      <c r="D47" s="1"/>
      <c r="E47" s="1"/>
      <c r="F47" s="1"/>
      <c r="G47" s="1"/>
      <c r="H47" s="73"/>
      <c r="I47" s="9"/>
      <c r="J47" s="1"/>
      <c r="K47" s="8"/>
      <c r="L47" s="1"/>
      <c r="M47" s="1"/>
      <c r="N47" s="1"/>
    </row>
    <row r="48" spans="1:14" s="5" customFormat="1" ht="47.25" customHeight="1">
      <c r="A48" s="1"/>
      <c r="B48" s="1"/>
      <c r="C48" s="1"/>
      <c r="D48" s="1"/>
      <c r="E48" s="1"/>
      <c r="F48" s="1"/>
      <c r="G48" s="1"/>
      <c r="H48" s="73"/>
      <c r="I48" s="9"/>
      <c r="J48" s="1"/>
      <c r="K48" s="8"/>
      <c r="L48" s="1"/>
      <c r="M48" s="1"/>
      <c r="N48" s="1"/>
    </row>
    <row r="49" spans="1:14" s="5" customFormat="1" ht="63.75" customHeight="1">
      <c r="A49" s="1"/>
      <c r="B49" s="1"/>
      <c r="C49" s="1"/>
      <c r="D49" s="1"/>
      <c r="E49" s="1"/>
      <c r="F49" s="1"/>
      <c r="G49" s="1"/>
      <c r="H49" s="73"/>
      <c r="I49" s="9"/>
      <c r="J49" s="1"/>
      <c r="K49" s="8"/>
      <c r="L49" s="1"/>
      <c r="M49" s="1"/>
      <c r="N49" s="1"/>
    </row>
    <row r="50" spans="1:14" s="5" customFormat="1" ht="33.6" customHeight="1">
      <c r="A50" s="1"/>
      <c r="B50" s="1"/>
      <c r="C50" s="1"/>
      <c r="D50" s="1"/>
      <c r="E50" s="1"/>
      <c r="F50" s="1"/>
      <c r="G50" s="1"/>
      <c r="H50" s="73"/>
      <c r="I50" s="9"/>
      <c r="J50" s="1"/>
      <c r="K50" s="8"/>
      <c r="L50" s="1"/>
      <c r="M50" s="1"/>
      <c r="N50" s="1"/>
    </row>
    <row r="51" spans="1:14" s="5" customFormat="1" ht="33.6" customHeight="1">
      <c r="A51" s="1"/>
      <c r="B51" s="1"/>
      <c r="C51" s="1"/>
      <c r="D51" s="1"/>
      <c r="E51" s="1"/>
      <c r="F51" s="1"/>
      <c r="G51" s="1"/>
      <c r="H51" s="73"/>
      <c r="I51" s="9"/>
      <c r="J51" s="1"/>
      <c r="K51" s="8"/>
      <c r="L51" s="1"/>
      <c r="M51" s="1"/>
      <c r="N51" s="1"/>
    </row>
    <row r="52" spans="1:14" s="5" customFormat="1" ht="33.6" customHeight="1">
      <c r="A52" s="1"/>
      <c r="B52" s="1"/>
      <c r="C52" s="1"/>
      <c r="D52" s="1"/>
      <c r="E52" s="1"/>
      <c r="F52" s="1"/>
      <c r="G52" s="1"/>
      <c r="H52" s="73"/>
      <c r="I52" s="9"/>
      <c r="J52" s="1"/>
      <c r="K52" s="8"/>
      <c r="L52" s="1"/>
      <c r="M52" s="1"/>
      <c r="N52" s="1"/>
    </row>
    <row r="53" spans="1:14" s="5" customFormat="1" ht="33.6" customHeight="1">
      <c r="A53" s="1"/>
      <c r="B53" s="1"/>
      <c r="C53" s="1"/>
      <c r="D53" s="1"/>
      <c r="E53" s="1"/>
      <c r="F53" s="1"/>
      <c r="G53" s="1"/>
      <c r="H53" s="73"/>
      <c r="I53" s="9"/>
      <c r="J53" s="1"/>
      <c r="K53" s="8"/>
      <c r="L53" s="1"/>
      <c r="M53" s="1"/>
      <c r="N53" s="1"/>
    </row>
    <row r="54" spans="1:14" s="5" customFormat="1" ht="33.6" customHeight="1">
      <c r="A54" s="1"/>
      <c r="B54" s="1"/>
      <c r="C54" s="1"/>
      <c r="D54" s="1"/>
      <c r="E54" s="1"/>
      <c r="F54" s="1"/>
      <c r="G54" s="1"/>
      <c r="H54" s="73"/>
      <c r="I54" s="9"/>
      <c r="J54" s="1"/>
      <c r="K54" s="8"/>
      <c r="L54" s="1"/>
      <c r="M54" s="1"/>
      <c r="N54" s="1"/>
    </row>
    <row r="55" spans="1:14" s="5" customFormat="1" ht="33.6" customHeight="1">
      <c r="A55" s="1"/>
      <c r="B55" s="1"/>
      <c r="C55" s="1"/>
      <c r="D55" s="1"/>
      <c r="E55" s="1"/>
      <c r="F55" s="1"/>
      <c r="G55" s="1"/>
      <c r="H55" s="73"/>
      <c r="I55" s="9"/>
      <c r="J55" s="1"/>
      <c r="K55" s="8"/>
      <c r="L55" s="1"/>
      <c r="M55" s="1"/>
      <c r="N55" s="1"/>
    </row>
    <row r="56" spans="1:14" s="5" customFormat="1" ht="33.6" customHeight="1">
      <c r="A56" s="1"/>
      <c r="B56" s="1"/>
      <c r="C56" s="1"/>
      <c r="D56" s="1"/>
      <c r="E56" s="1"/>
      <c r="F56" s="1"/>
      <c r="G56" s="1"/>
      <c r="H56" s="73"/>
      <c r="I56" s="9"/>
      <c r="J56" s="1"/>
      <c r="K56" s="8"/>
      <c r="L56" s="1"/>
      <c r="M56" s="1"/>
      <c r="N56" s="1"/>
    </row>
    <row r="57" spans="1:14" s="5" customFormat="1" ht="33.6" customHeight="1">
      <c r="A57" s="1"/>
      <c r="B57" s="1"/>
      <c r="C57" s="1"/>
      <c r="D57" s="1"/>
      <c r="E57" s="1"/>
      <c r="F57" s="1"/>
      <c r="G57" s="1"/>
      <c r="H57" s="73"/>
      <c r="I57" s="9"/>
      <c r="J57" s="1"/>
      <c r="K57" s="8"/>
      <c r="L57" s="1"/>
      <c r="M57" s="1"/>
      <c r="N57" s="1"/>
    </row>
    <row r="58" spans="1:14" s="5" customFormat="1" ht="33.6" customHeight="1">
      <c r="A58" s="1"/>
      <c r="B58" s="1"/>
      <c r="C58" s="1"/>
      <c r="D58" s="1"/>
      <c r="E58" s="1"/>
      <c r="F58" s="1"/>
      <c r="G58" s="1"/>
      <c r="H58" s="73"/>
      <c r="I58" s="9"/>
      <c r="J58" s="1"/>
      <c r="K58" s="8"/>
      <c r="L58" s="1"/>
      <c r="M58" s="1"/>
      <c r="N58" s="1"/>
    </row>
    <row r="59" spans="1:14" s="5" customFormat="1" ht="33.6" customHeight="1">
      <c r="A59" s="1"/>
      <c r="B59" s="1"/>
      <c r="C59" s="1"/>
      <c r="D59" s="1"/>
      <c r="E59" s="1"/>
      <c r="F59" s="1"/>
      <c r="G59" s="1"/>
      <c r="H59" s="73"/>
      <c r="I59" s="9"/>
      <c r="J59" s="1"/>
      <c r="K59" s="8"/>
      <c r="L59" s="1"/>
      <c r="M59" s="1"/>
      <c r="N59" s="1"/>
    </row>
    <row r="60" spans="1:14" s="5" customFormat="1" ht="33.6" customHeight="1">
      <c r="A60" s="1"/>
      <c r="B60" s="1"/>
      <c r="C60" s="1"/>
      <c r="D60" s="1"/>
      <c r="E60" s="1"/>
      <c r="F60" s="1"/>
      <c r="G60" s="1"/>
      <c r="H60" s="73"/>
      <c r="I60" s="9"/>
      <c r="J60" s="1"/>
      <c r="K60" s="8"/>
      <c r="L60" s="1"/>
      <c r="M60" s="1"/>
      <c r="N60" s="1"/>
    </row>
    <row r="61" spans="1:14" s="5" customFormat="1" ht="33.6" customHeight="1">
      <c r="A61" s="1"/>
      <c r="B61" s="1"/>
      <c r="C61" s="1"/>
      <c r="D61" s="1"/>
      <c r="E61" s="1"/>
      <c r="F61" s="1"/>
      <c r="G61" s="1"/>
      <c r="H61" s="73"/>
      <c r="I61" s="9"/>
      <c r="J61" s="1"/>
      <c r="K61" s="8"/>
      <c r="L61" s="1"/>
      <c r="M61" s="1"/>
      <c r="N61" s="1"/>
    </row>
    <row r="62" spans="1:14" s="5" customFormat="1" ht="33.6" customHeight="1">
      <c r="A62" s="1"/>
      <c r="B62" s="1"/>
      <c r="C62" s="1"/>
      <c r="D62" s="1"/>
      <c r="E62" s="1"/>
      <c r="F62" s="1"/>
      <c r="G62" s="1"/>
      <c r="H62" s="73"/>
      <c r="I62" s="9"/>
      <c r="J62" s="1"/>
      <c r="K62" s="8"/>
      <c r="L62" s="1"/>
      <c r="M62" s="1"/>
      <c r="N62" s="1"/>
    </row>
    <row r="63" spans="1:14" s="5" customFormat="1" ht="33.6" customHeight="1">
      <c r="A63" s="1"/>
      <c r="B63" s="1"/>
      <c r="C63" s="1"/>
      <c r="D63" s="1"/>
      <c r="E63" s="1"/>
      <c r="F63" s="1"/>
      <c r="G63" s="1"/>
      <c r="H63" s="73"/>
      <c r="I63" s="9"/>
      <c r="J63" s="1"/>
      <c r="K63" s="8"/>
      <c r="L63" s="1"/>
      <c r="M63" s="1"/>
      <c r="N63" s="1"/>
    </row>
    <row r="64" spans="1:14" s="5" customFormat="1" ht="33.6" customHeight="1">
      <c r="A64" s="1"/>
      <c r="B64" s="1"/>
      <c r="C64" s="1"/>
      <c r="D64" s="1"/>
      <c r="E64" s="1"/>
      <c r="F64" s="1"/>
      <c r="G64" s="1"/>
      <c r="H64" s="73"/>
      <c r="I64" s="9"/>
      <c r="J64" s="1"/>
      <c r="K64" s="8"/>
      <c r="L64" s="1"/>
      <c r="M64" s="1"/>
      <c r="N64" s="1"/>
    </row>
    <row r="65" spans="1:14" s="5" customFormat="1" ht="33.6" customHeight="1">
      <c r="A65" s="1"/>
      <c r="B65" s="1"/>
      <c r="C65" s="1"/>
      <c r="D65" s="1"/>
      <c r="E65" s="1"/>
      <c r="F65" s="1"/>
      <c r="G65" s="1"/>
      <c r="H65" s="73"/>
      <c r="I65" s="9"/>
      <c r="J65" s="1"/>
      <c r="K65" s="8"/>
      <c r="L65" s="1"/>
      <c r="M65" s="1"/>
      <c r="N65" s="1"/>
    </row>
    <row r="66" spans="1:14" s="5" customFormat="1" ht="33.6" customHeight="1">
      <c r="A66" s="1"/>
      <c r="B66" s="1"/>
      <c r="C66" s="1"/>
      <c r="D66" s="1"/>
      <c r="E66" s="1"/>
      <c r="F66" s="1"/>
      <c r="G66" s="1"/>
      <c r="H66" s="73"/>
      <c r="I66" s="9"/>
      <c r="J66" s="1"/>
      <c r="K66" s="8"/>
      <c r="L66" s="1"/>
      <c r="M66" s="1"/>
      <c r="N66" s="1"/>
    </row>
    <row r="67" spans="1:14" s="5" customFormat="1" ht="33.6" customHeight="1">
      <c r="A67" s="1"/>
      <c r="B67" s="1"/>
      <c r="C67" s="1"/>
      <c r="D67" s="1"/>
      <c r="E67" s="1"/>
      <c r="F67" s="1"/>
      <c r="G67" s="1"/>
      <c r="H67" s="73"/>
      <c r="I67" s="9"/>
      <c r="J67" s="1"/>
      <c r="K67" s="8"/>
      <c r="L67" s="1"/>
      <c r="M67" s="1"/>
      <c r="N67" s="1"/>
    </row>
    <row r="68" spans="1:14" s="5" customFormat="1" ht="33.6" customHeight="1">
      <c r="A68" s="1"/>
      <c r="B68" s="1"/>
      <c r="C68" s="1"/>
      <c r="D68" s="1"/>
      <c r="E68" s="1"/>
      <c r="F68" s="1"/>
      <c r="G68" s="1"/>
      <c r="H68" s="73"/>
      <c r="I68" s="9"/>
      <c r="J68" s="1"/>
      <c r="K68" s="8"/>
      <c r="L68" s="1"/>
      <c r="M68" s="1"/>
      <c r="N68" s="1"/>
    </row>
    <row r="69" spans="1:14" s="5" customFormat="1" ht="33.6" customHeight="1">
      <c r="A69" s="1"/>
      <c r="B69" s="1"/>
      <c r="C69" s="1"/>
      <c r="D69" s="1"/>
      <c r="E69" s="1"/>
      <c r="F69" s="1"/>
      <c r="G69" s="1"/>
      <c r="H69" s="73"/>
      <c r="I69" s="9"/>
      <c r="J69" s="1"/>
      <c r="K69" s="8"/>
      <c r="L69" s="1"/>
      <c r="M69" s="1"/>
      <c r="N69" s="1"/>
    </row>
    <row r="70" spans="1:14" s="5" customFormat="1" ht="33.6" customHeight="1">
      <c r="A70" s="1"/>
      <c r="B70" s="1"/>
      <c r="C70" s="1"/>
      <c r="D70" s="1"/>
      <c r="E70" s="1"/>
      <c r="F70" s="1"/>
      <c r="G70" s="1"/>
      <c r="H70" s="73"/>
      <c r="I70" s="9"/>
      <c r="J70" s="1"/>
      <c r="K70" s="8"/>
      <c r="L70" s="1"/>
      <c r="M70" s="1"/>
      <c r="N70" s="1"/>
    </row>
    <row r="71" spans="1:14" s="5" customFormat="1" ht="33" customHeight="1">
      <c r="A71" s="1"/>
      <c r="B71" s="1"/>
      <c r="C71" s="1"/>
      <c r="D71" s="1"/>
      <c r="E71" s="1"/>
      <c r="F71" s="1"/>
      <c r="G71" s="1"/>
      <c r="H71" s="73"/>
      <c r="I71" s="9"/>
      <c r="J71" s="1"/>
      <c r="K71" s="8"/>
      <c r="L71" s="1"/>
      <c r="M71" s="1"/>
      <c r="N71" s="1"/>
    </row>
    <row r="72" spans="1:14" s="5" customFormat="1" ht="33.75" customHeight="1">
      <c r="A72" s="1"/>
      <c r="B72" s="1"/>
      <c r="C72" s="1"/>
      <c r="D72" s="1"/>
      <c r="E72" s="1"/>
      <c r="F72" s="1"/>
      <c r="G72" s="1"/>
      <c r="H72" s="73"/>
      <c r="I72" s="9"/>
      <c r="J72" s="1"/>
      <c r="K72" s="8"/>
      <c r="L72" s="1"/>
      <c r="M72" s="1"/>
      <c r="N72" s="1"/>
    </row>
    <row r="73" spans="1:14" s="5" customFormat="1" ht="33.75" customHeight="1">
      <c r="A73" s="1"/>
      <c r="B73" s="1"/>
      <c r="C73" s="1"/>
      <c r="D73" s="1"/>
      <c r="E73" s="1"/>
      <c r="F73" s="1"/>
      <c r="G73" s="1"/>
      <c r="H73" s="73"/>
      <c r="I73" s="9"/>
      <c r="J73" s="1"/>
      <c r="K73" s="8"/>
      <c r="L73" s="1"/>
      <c r="M73" s="1"/>
      <c r="N73" s="1"/>
    </row>
    <row r="74" spans="1:14" s="5" customFormat="1" ht="33" customHeight="1">
      <c r="A74" s="1"/>
      <c r="B74" s="1"/>
      <c r="C74" s="1"/>
      <c r="D74" s="1"/>
      <c r="E74" s="1"/>
      <c r="F74" s="1"/>
      <c r="G74" s="1"/>
      <c r="H74" s="73"/>
      <c r="I74" s="9"/>
      <c r="J74" s="1"/>
      <c r="K74" s="8"/>
      <c r="L74" s="1"/>
      <c r="M74" s="1"/>
      <c r="N74" s="1"/>
    </row>
    <row r="75" spans="1:14" s="5" customFormat="1" ht="33.75" customHeight="1">
      <c r="A75" s="1"/>
      <c r="B75" s="1"/>
      <c r="C75" s="1"/>
      <c r="D75" s="1"/>
      <c r="E75" s="1"/>
      <c r="F75" s="1"/>
      <c r="G75" s="1"/>
      <c r="H75" s="73"/>
      <c r="I75" s="9"/>
      <c r="J75" s="1"/>
      <c r="K75" s="8"/>
      <c r="L75" s="1"/>
      <c r="M75" s="1"/>
      <c r="N75" s="1"/>
    </row>
    <row r="76" spans="1:14" s="5" customFormat="1" ht="33.75" customHeight="1">
      <c r="A76" s="1"/>
      <c r="B76" s="1"/>
      <c r="C76" s="1"/>
      <c r="D76" s="1"/>
      <c r="E76" s="1"/>
      <c r="F76" s="1"/>
      <c r="G76" s="1"/>
      <c r="H76" s="73"/>
      <c r="I76" s="9"/>
      <c r="J76" s="1"/>
      <c r="K76" s="8"/>
      <c r="L76" s="1"/>
      <c r="M76" s="1"/>
      <c r="N76" s="1"/>
    </row>
    <row r="77" spans="1:14" s="5" customFormat="1" ht="33.6" customHeight="1">
      <c r="A77" s="1"/>
      <c r="B77" s="1"/>
      <c r="C77" s="1"/>
      <c r="D77" s="1"/>
      <c r="E77" s="1"/>
      <c r="F77" s="1"/>
      <c r="G77" s="1"/>
      <c r="H77" s="73"/>
      <c r="I77" s="9"/>
      <c r="J77" s="1"/>
      <c r="K77" s="8"/>
      <c r="L77" s="1"/>
      <c r="M77" s="1"/>
      <c r="N77" s="1"/>
    </row>
    <row r="78" spans="1:14" s="5" customFormat="1" ht="33.6" customHeight="1">
      <c r="A78" s="1"/>
      <c r="B78" s="1"/>
      <c r="C78" s="1"/>
      <c r="D78" s="1"/>
      <c r="E78" s="1"/>
      <c r="F78" s="1"/>
      <c r="G78" s="1"/>
      <c r="H78" s="73"/>
      <c r="I78" s="9"/>
      <c r="J78" s="1"/>
      <c r="K78" s="8"/>
      <c r="L78" s="1"/>
      <c r="M78" s="1"/>
      <c r="N78" s="1"/>
    </row>
    <row r="79" spans="1:14" s="5" customFormat="1" ht="33.6" customHeight="1">
      <c r="A79" s="1"/>
      <c r="B79" s="1"/>
      <c r="C79" s="1"/>
      <c r="D79" s="1"/>
      <c r="E79" s="1"/>
      <c r="F79" s="1"/>
      <c r="G79" s="1"/>
      <c r="H79" s="73"/>
      <c r="I79" s="9"/>
      <c r="J79" s="1"/>
      <c r="K79" s="8"/>
      <c r="L79" s="1"/>
      <c r="M79" s="1"/>
      <c r="N79" s="1"/>
    </row>
    <row r="80" spans="1:14" s="5" customFormat="1" ht="33.6" customHeight="1">
      <c r="A80" s="1"/>
      <c r="B80" s="1"/>
      <c r="C80" s="1"/>
      <c r="D80" s="1"/>
      <c r="E80" s="1"/>
      <c r="F80" s="1"/>
      <c r="G80" s="1"/>
      <c r="H80" s="73"/>
      <c r="I80" s="9"/>
      <c r="J80" s="1"/>
      <c r="K80" s="8"/>
      <c r="L80" s="1"/>
      <c r="M80" s="1"/>
      <c r="N80" s="1"/>
    </row>
    <row r="81" spans="1:14" s="5" customFormat="1" ht="33.6" customHeight="1">
      <c r="A81" s="1"/>
      <c r="B81" s="1"/>
      <c r="C81" s="1"/>
      <c r="D81" s="1"/>
      <c r="E81" s="1"/>
      <c r="F81" s="1"/>
      <c r="G81" s="1"/>
      <c r="H81" s="73"/>
      <c r="I81" s="9"/>
      <c r="J81" s="1"/>
      <c r="K81" s="8"/>
      <c r="L81" s="1"/>
      <c r="M81" s="1"/>
      <c r="N81" s="1"/>
    </row>
    <row r="82" spans="1:14" s="5" customFormat="1" ht="33.6" customHeight="1">
      <c r="A82" s="1"/>
      <c r="B82" s="1"/>
      <c r="C82" s="1"/>
      <c r="D82" s="1"/>
      <c r="E82" s="1"/>
      <c r="F82" s="1"/>
      <c r="G82" s="1"/>
      <c r="H82" s="73"/>
      <c r="I82" s="9"/>
      <c r="J82" s="1"/>
      <c r="K82" s="8"/>
      <c r="L82" s="1"/>
      <c r="M82" s="1"/>
      <c r="N82" s="1"/>
    </row>
    <row r="83" spans="1:14" s="5" customFormat="1" ht="33.6" customHeight="1">
      <c r="A83" s="1"/>
      <c r="B83" s="1"/>
      <c r="C83" s="1"/>
      <c r="D83" s="1"/>
      <c r="E83" s="1"/>
      <c r="F83" s="1"/>
      <c r="G83" s="1"/>
      <c r="H83" s="73"/>
      <c r="I83" s="9"/>
      <c r="J83" s="1"/>
      <c r="K83" s="8"/>
      <c r="L83" s="1"/>
      <c r="M83" s="1"/>
      <c r="N83" s="1"/>
    </row>
    <row r="84" spans="1:14" s="5" customFormat="1" ht="33.6" customHeight="1">
      <c r="A84" s="1"/>
      <c r="B84" s="1"/>
      <c r="C84" s="1"/>
      <c r="D84" s="1"/>
      <c r="E84" s="1"/>
      <c r="F84" s="1"/>
      <c r="G84" s="1"/>
      <c r="H84" s="73"/>
      <c r="I84" s="9"/>
      <c r="J84" s="1"/>
      <c r="K84" s="8"/>
      <c r="L84" s="1"/>
      <c r="M84" s="1"/>
      <c r="N84" s="1"/>
    </row>
    <row r="85" spans="1:14" s="5" customFormat="1" ht="33.6" customHeight="1">
      <c r="A85" s="1"/>
      <c r="B85" s="1"/>
      <c r="C85" s="1"/>
      <c r="D85" s="1"/>
      <c r="E85" s="1"/>
      <c r="F85" s="1"/>
      <c r="G85" s="1"/>
      <c r="H85" s="73"/>
      <c r="I85" s="9"/>
      <c r="J85" s="1"/>
      <c r="K85" s="8"/>
      <c r="L85" s="1"/>
      <c r="M85" s="1"/>
      <c r="N85" s="1"/>
    </row>
    <row r="86" spans="1:14" s="5" customFormat="1" ht="33.75" customHeight="1">
      <c r="A86" s="1"/>
      <c r="B86" s="1"/>
      <c r="C86" s="1"/>
      <c r="D86" s="1"/>
      <c r="E86" s="1"/>
      <c r="F86" s="1"/>
      <c r="G86" s="1"/>
      <c r="H86" s="73"/>
      <c r="I86" s="9"/>
      <c r="J86" s="1"/>
      <c r="K86" s="8"/>
      <c r="L86" s="1"/>
      <c r="M86" s="1"/>
      <c r="N86" s="1"/>
    </row>
    <row r="87" spans="1:14" s="5" customFormat="1" ht="33.75" customHeight="1">
      <c r="A87" s="1"/>
      <c r="B87" s="1"/>
      <c r="C87" s="1"/>
      <c r="D87" s="1"/>
      <c r="E87" s="1"/>
      <c r="F87" s="1"/>
      <c r="G87" s="1"/>
      <c r="H87" s="73"/>
      <c r="I87" s="9"/>
      <c r="J87" s="1"/>
      <c r="K87" s="8"/>
      <c r="L87" s="1"/>
      <c r="M87" s="1"/>
      <c r="N87" s="1"/>
    </row>
    <row r="88" spans="1:14" s="5" customFormat="1" ht="33.75" customHeight="1">
      <c r="A88" s="1"/>
      <c r="B88" s="1"/>
      <c r="C88" s="1"/>
      <c r="D88" s="1"/>
      <c r="E88" s="1"/>
      <c r="F88" s="1"/>
      <c r="G88" s="1"/>
      <c r="H88" s="73"/>
      <c r="I88" s="9"/>
      <c r="J88" s="1"/>
      <c r="K88" s="8"/>
      <c r="L88" s="1"/>
      <c r="M88" s="1"/>
      <c r="N88" s="1"/>
    </row>
    <row r="89" spans="1:14" s="5" customFormat="1" ht="33.75" customHeight="1">
      <c r="A89" s="1"/>
      <c r="B89" s="1"/>
      <c r="C89" s="1"/>
      <c r="D89" s="1"/>
      <c r="E89" s="1"/>
      <c r="F89" s="1"/>
      <c r="G89" s="1"/>
      <c r="H89" s="73"/>
      <c r="I89" s="9"/>
      <c r="J89" s="1"/>
      <c r="K89" s="8"/>
      <c r="L89" s="1"/>
      <c r="M89" s="1"/>
      <c r="N89" s="1"/>
    </row>
    <row r="90" spans="1:14" s="5" customFormat="1" ht="33.75" customHeight="1">
      <c r="A90" s="1"/>
      <c r="B90" s="1"/>
      <c r="C90" s="1"/>
      <c r="D90" s="1"/>
      <c r="E90" s="1"/>
      <c r="F90" s="1"/>
      <c r="G90" s="1"/>
      <c r="H90" s="73"/>
      <c r="I90" s="9"/>
      <c r="J90" s="1"/>
      <c r="K90" s="8"/>
      <c r="L90" s="1"/>
      <c r="M90" s="1"/>
      <c r="N90" s="1"/>
    </row>
    <row r="91" spans="1:14" s="5" customFormat="1" ht="33.75" customHeight="1">
      <c r="A91" s="1"/>
      <c r="B91" s="1"/>
      <c r="C91" s="1"/>
      <c r="D91" s="1"/>
      <c r="E91" s="1"/>
      <c r="F91" s="1"/>
      <c r="G91" s="1"/>
      <c r="H91" s="73"/>
      <c r="I91" s="9"/>
      <c r="J91" s="1"/>
      <c r="K91" s="8"/>
      <c r="L91" s="1"/>
      <c r="M91" s="1"/>
      <c r="N91" s="1"/>
    </row>
    <row r="92" spans="1:14" s="5" customFormat="1" ht="33" customHeight="1">
      <c r="A92" s="1"/>
      <c r="B92" s="1"/>
      <c r="C92" s="1"/>
      <c r="D92" s="1"/>
      <c r="E92" s="1"/>
      <c r="F92" s="1"/>
      <c r="G92" s="1"/>
      <c r="H92" s="73"/>
      <c r="I92" s="9"/>
      <c r="J92" s="1"/>
      <c r="K92" s="8"/>
      <c r="L92" s="1"/>
      <c r="M92" s="1"/>
      <c r="N92" s="1"/>
    </row>
    <row r="93" spans="1:14" s="5" customFormat="1" ht="33.75" customHeight="1">
      <c r="A93" s="1"/>
      <c r="B93" s="1"/>
      <c r="C93" s="1"/>
      <c r="D93" s="1"/>
      <c r="E93" s="1"/>
      <c r="F93" s="1"/>
      <c r="G93" s="1"/>
      <c r="H93" s="73"/>
      <c r="I93" s="9"/>
      <c r="J93" s="1"/>
      <c r="K93" s="8"/>
      <c r="L93" s="1"/>
      <c r="M93" s="1"/>
      <c r="N93" s="1"/>
    </row>
    <row r="94" spans="1:14" s="5" customFormat="1" ht="33.75" customHeight="1">
      <c r="A94" s="1"/>
      <c r="B94" s="1"/>
      <c r="C94" s="1"/>
      <c r="D94" s="1"/>
      <c r="E94" s="1"/>
      <c r="F94" s="1"/>
      <c r="G94" s="1"/>
      <c r="H94" s="73"/>
      <c r="I94" s="9"/>
      <c r="J94" s="1"/>
      <c r="K94" s="8"/>
      <c r="L94" s="1"/>
      <c r="M94" s="1"/>
      <c r="N94" s="1"/>
    </row>
    <row r="95" spans="1:14" s="5" customFormat="1" ht="33" customHeight="1">
      <c r="A95" s="1"/>
      <c r="B95" s="1"/>
      <c r="C95" s="1"/>
      <c r="D95" s="1"/>
      <c r="E95" s="1"/>
      <c r="F95" s="1"/>
      <c r="G95" s="1"/>
      <c r="H95" s="73"/>
      <c r="I95" s="9"/>
      <c r="J95" s="1"/>
      <c r="K95" s="8"/>
      <c r="L95" s="1"/>
      <c r="M95" s="1"/>
      <c r="N95" s="1"/>
    </row>
    <row r="96" spans="1:14" s="5" customFormat="1" ht="33.75" customHeight="1">
      <c r="A96" s="1"/>
      <c r="B96" s="1"/>
      <c r="C96" s="1"/>
      <c r="D96" s="1"/>
      <c r="E96" s="1"/>
      <c r="F96" s="1"/>
      <c r="G96" s="1"/>
      <c r="H96" s="73"/>
      <c r="I96" s="9"/>
      <c r="J96" s="1"/>
      <c r="K96" s="8"/>
      <c r="L96" s="1"/>
      <c r="M96" s="1"/>
      <c r="N96" s="1"/>
    </row>
    <row r="97" spans="1:14" s="5" customFormat="1" ht="33.75" customHeight="1">
      <c r="A97" s="1"/>
      <c r="B97" s="1"/>
      <c r="C97" s="1"/>
      <c r="D97" s="1"/>
      <c r="E97" s="1"/>
      <c r="F97" s="1"/>
      <c r="G97" s="1"/>
      <c r="H97" s="73"/>
      <c r="I97" s="9"/>
      <c r="J97" s="1"/>
      <c r="K97" s="8"/>
      <c r="L97" s="1"/>
      <c r="M97" s="1"/>
      <c r="N97" s="1"/>
    </row>
    <row r="98" spans="1:14" s="5" customFormat="1" ht="33.6" customHeight="1">
      <c r="A98" s="1"/>
      <c r="B98" s="1"/>
      <c r="C98" s="1"/>
      <c r="D98" s="1"/>
      <c r="E98" s="1"/>
      <c r="F98" s="1"/>
      <c r="G98" s="1"/>
      <c r="H98" s="73"/>
      <c r="I98" s="9"/>
      <c r="J98" s="1"/>
      <c r="K98" s="8"/>
      <c r="L98" s="1"/>
      <c r="M98" s="1"/>
      <c r="N98" s="1"/>
    </row>
    <row r="99" spans="1:14" s="5" customFormat="1" ht="33.6" customHeight="1">
      <c r="A99" s="1"/>
      <c r="B99" s="1"/>
      <c r="C99" s="1"/>
      <c r="D99" s="1"/>
      <c r="E99" s="1"/>
      <c r="F99" s="1"/>
      <c r="G99" s="1"/>
      <c r="H99" s="73"/>
      <c r="I99" s="9"/>
      <c r="J99" s="1"/>
      <c r="K99" s="8"/>
      <c r="L99" s="1"/>
      <c r="M99" s="1"/>
      <c r="N99" s="1"/>
    </row>
    <row r="100" spans="1:14" s="5" customFormat="1" ht="33.6" customHeight="1">
      <c r="A100" s="1"/>
      <c r="B100" s="1"/>
      <c r="C100" s="1"/>
      <c r="D100" s="1"/>
      <c r="E100" s="1"/>
      <c r="F100" s="1"/>
      <c r="G100" s="1"/>
      <c r="H100" s="73"/>
      <c r="I100" s="9"/>
      <c r="J100" s="1"/>
      <c r="K100" s="8"/>
      <c r="L100" s="1"/>
      <c r="M100" s="1"/>
      <c r="N100" s="1"/>
    </row>
    <row r="101" spans="1:14" s="5" customFormat="1" ht="33.6" customHeight="1">
      <c r="A101" s="1"/>
      <c r="B101" s="1"/>
      <c r="C101" s="1"/>
      <c r="D101" s="1"/>
      <c r="E101" s="1"/>
      <c r="F101" s="1"/>
      <c r="G101" s="1"/>
      <c r="H101" s="73"/>
      <c r="I101" s="9"/>
      <c r="J101" s="1"/>
      <c r="K101" s="8"/>
      <c r="L101" s="1"/>
      <c r="M101" s="1"/>
      <c r="N101" s="1"/>
    </row>
    <row r="102" spans="1:14" s="5" customFormat="1" ht="33.6" customHeight="1">
      <c r="A102" s="1"/>
      <c r="B102" s="1"/>
      <c r="C102" s="1"/>
      <c r="D102" s="1"/>
      <c r="E102" s="1"/>
      <c r="F102" s="1"/>
      <c r="G102" s="1"/>
      <c r="H102" s="73"/>
      <c r="I102" s="9"/>
      <c r="J102" s="1"/>
      <c r="K102" s="8"/>
      <c r="L102" s="1"/>
      <c r="M102" s="1"/>
      <c r="N102" s="1"/>
    </row>
    <row r="103" spans="1:14" s="5" customFormat="1" ht="33.6" customHeight="1">
      <c r="A103" s="1"/>
      <c r="B103" s="1"/>
      <c r="C103" s="1"/>
      <c r="D103" s="1"/>
      <c r="E103" s="1"/>
      <c r="F103" s="1"/>
      <c r="G103" s="1"/>
      <c r="H103" s="73"/>
      <c r="I103" s="9"/>
      <c r="J103" s="1"/>
      <c r="K103" s="8"/>
      <c r="L103" s="1"/>
      <c r="M103" s="1"/>
      <c r="N103" s="1"/>
    </row>
    <row r="104" spans="1:14" s="5" customFormat="1" ht="33.6" customHeight="1">
      <c r="A104" s="1"/>
      <c r="B104" s="1"/>
      <c r="C104" s="1"/>
      <c r="D104" s="1"/>
      <c r="E104" s="1"/>
      <c r="F104" s="1"/>
      <c r="G104" s="1"/>
      <c r="H104" s="73"/>
      <c r="I104" s="9"/>
      <c r="J104" s="1"/>
      <c r="K104" s="8"/>
      <c r="L104" s="1"/>
      <c r="M104" s="1"/>
      <c r="N104" s="1"/>
    </row>
    <row r="105" spans="1:14" s="5" customFormat="1" ht="33.6" customHeight="1">
      <c r="A105" s="1"/>
      <c r="B105" s="1"/>
      <c r="C105" s="1"/>
      <c r="D105" s="1"/>
      <c r="E105" s="1"/>
      <c r="F105" s="1"/>
      <c r="G105" s="1"/>
      <c r="H105" s="73"/>
      <c r="I105" s="9"/>
      <c r="J105" s="1"/>
      <c r="K105" s="8"/>
      <c r="L105" s="1"/>
      <c r="M105" s="1"/>
      <c r="N105" s="1"/>
    </row>
    <row r="106" spans="1:14" s="5" customFormat="1" ht="33.6" customHeight="1">
      <c r="A106" s="1"/>
      <c r="B106" s="1"/>
      <c r="C106" s="1"/>
      <c r="D106" s="1"/>
      <c r="E106" s="1"/>
      <c r="F106" s="1"/>
      <c r="G106" s="1"/>
      <c r="H106" s="73"/>
      <c r="I106" s="9"/>
      <c r="J106" s="1"/>
      <c r="K106" s="8"/>
      <c r="L106" s="1"/>
      <c r="M106" s="1"/>
      <c r="N106" s="1"/>
    </row>
    <row r="107" spans="1:14" s="5" customFormat="1" ht="33.75" customHeight="1">
      <c r="A107" s="1"/>
      <c r="B107" s="1"/>
      <c r="C107" s="1"/>
      <c r="D107" s="1"/>
      <c r="E107" s="1"/>
      <c r="F107" s="1"/>
      <c r="G107" s="1"/>
      <c r="H107" s="73"/>
      <c r="I107" s="9"/>
      <c r="J107" s="1"/>
      <c r="K107" s="8"/>
      <c r="L107" s="1"/>
      <c r="M107" s="1"/>
      <c r="N107" s="1"/>
    </row>
    <row r="108" spans="1:14" s="5" customFormat="1" ht="33.75" customHeight="1">
      <c r="A108" s="1"/>
      <c r="B108" s="1"/>
      <c r="C108" s="1"/>
      <c r="D108" s="1"/>
      <c r="E108" s="1"/>
      <c r="F108" s="1"/>
      <c r="G108" s="1"/>
      <c r="H108" s="73"/>
      <c r="I108" s="9"/>
      <c r="J108" s="1"/>
      <c r="K108" s="8"/>
      <c r="L108" s="1"/>
      <c r="M108" s="1"/>
      <c r="N108" s="1"/>
    </row>
    <row r="109" spans="1:14" s="5" customFormat="1" ht="33.75" customHeight="1">
      <c r="A109" s="1"/>
      <c r="B109" s="1"/>
      <c r="C109" s="1"/>
      <c r="D109" s="1"/>
      <c r="E109" s="1"/>
      <c r="F109" s="1"/>
      <c r="G109" s="1"/>
      <c r="H109" s="73"/>
      <c r="I109" s="9"/>
      <c r="J109" s="1"/>
      <c r="K109" s="8"/>
      <c r="L109" s="1"/>
      <c r="M109" s="1"/>
      <c r="N109" s="1"/>
    </row>
    <row r="110" spans="1:14" s="5" customFormat="1" ht="33.75" customHeight="1">
      <c r="A110" s="1"/>
      <c r="B110" s="1"/>
      <c r="C110" s="1"/>
      <c r="D110" s="1"/>
      <c r="E110" s="1"/>
      <c r="F110" s="1"/>
      <c r="G110" s="1"/>
      <c r="H110" s="73"/>
      <c r="I110" s="9"/>
      <c r="J110" s="1"/>
      <c r="K110" s="8"/>
      <c r="L110" s="1"/>
      <c r="M110" s="1"/>
      <c r="N110" s="1"/>
    </row>
    <row r="111" spans="1:14" s="5" customFormat="1" ht="33.75" customHeight="1">
      <c r="A111" s="1"/>
      <c r="B111" s="1"/>
      <c r="C111" s="1"/>
      <c r="D111" s="1"/>
      <c r="E111" s="1"/>
      <c r="F111" s="1"/>
      <c r="G111" s="1"/>
      <c r="H111" s="73"/>
      <c r="I111" s="9"/>
      <c r="J111" s="1"/>
      <c r="K111" s="8"/>
      <c r="L111" s="1"/>
      <c r="M111" s="1"/>
      <c r="N111" s="1"/>
    </row>
    <row r="112" spans="1:14" s="5" customFormat="1" ht="33.75" customHeight="1">
      <c r="A112" s="1"/>
      <c r="B112" s="1"/>
      <c r="C112" s="1"/>
      <c r="D112" s="1"/>
      <c r="E112" s="1"/>
      <c r="F112" s="1"/>
      <c r="G112" s="1"/>
      <c r="H112" s="73"/>
      <c r="I112" s="9"/>
      <c r="J112" s="1"/>
      <c r="K112" s="8"/>
      <c r="L112" s="1"/>
      <c r="M112" s="1"/>
      <c r="N112" s="1"/>
    </row>
    <row r="113" spans="1:14" s="5" customFormat="1" ht="33.75" customHeight="1">
      <c r="A113" s="1"/>
      <c r="B113" s="1"/>
      <c r="C113" s="1"/>
      <c r="D113" s="1"/>
      <c r="E113" s="1"/>
      <c r="F113" s="1"/>
      <c r="G113" s="1"/>
      <c r="H113" s="73"/>
      <c r="I113" s="9"/>
      <c r="J113" s="1"/>
      <c r="K113" s="8"/>
      <c r="L113" s="1"/>
      <c r="M113" s="1"/>
      <c r="N113" s="1"/>
    </row>
    <row r="114" spans="1:14" s="5" customFormat="1" ht="33.75" customHeight="1">
      <c r="A114" s="1"/>
      <c r="B114" s="1"/>
      <c r="C114" s="1"/>
      <c r="D114" s="1"/>
      <c r="E114" s="1"/>
      <c r="F114" s="1"/>
      <c r="G114" s="1"/>
      <c r="H114" s="73"/>
      <c r="I114" s="9"/>
      <c r="J114" s="1"/>
      <c r="K114" s="8"/>
      <c r="L114" s="1"/>
      <c r="M114" s="1"/>
      <c r="N114" s="1"/>
    </row>
    <row r="115" spans="1:14" s="5" customFormat="1" ht="33.75" customHeight="1">
      <c r="A115" s="1"/>
      <c r="B115" s="1"/>
      <c r="C115" s="1"/>
      <c r="D115" s="1"/>
      <c r="E115" s="1"/>
      <c r="F115" s="1"/>
      <c r="G115" s="1"/>
      <c r="H115" s="73"/>
      <c r="I115" s="9"/>
      <c r="J115" s="1"/>
      <c r="K115" s="8"/>
      <c r="L115" s="1"/>
      <c r="M115" s="1"/>
      <c r="N115" s="1"/>
    </row>
    <row r="116" spans="1:14" s="5" customFormat="1" ht="33.75" customHeight="1">
      <c r="A116" s="1"/>
      <c r="B116" s="1"/>
      <c r="C116" s="1"/>
      <c r="D116" s="1"/>
      <c r="E116" s="1"/>
      <c r="F116" s="1"/>
      <c r="G116" s="1"/>
      <c r="H116" s="73"/>
      <c r="I116" s="9"/>
      <c r="J116" s="1"/>
      <c r="K116" s="8"/>
      <c r="L116" s="1"/>
      <c r="M116" s="1"/>
      <c r="N116" s="1"/>
    </row>
    <row r="117" spans="1:14" s="5" customFormat="1" ht="33.75" customHeight="1">
      <c r="A117" s="1"/>
      <c r="B117" s="1"/>
      <c r="C117" s="1"/>
      <c r="D117" s="1"/>
      <c r="E117" s="1"/>
      <c r="F117" s="1"/>
      <c r="G117" s="1"/>
      <c r="H117" s="73"/>
      <c r="I117" s="9"/>
      <c r="J117" s="1"/>
      <c r="K117" s="8"/>
      <c r="L117" s="1"/>
      <c r="M117" s="1"/>
      <c r="N117" s="1"/>
    </row>
    <row r="118" spans="1:14" s="5" customFormat="1" ht="33.75" customHeight="1">
      <c r="A118" s="1"/>
      <c r="B118" s="1"/>
      <c r="C118" s="1"/>
      <c r="D118" s="1"/>
      <c r="E118" s="1"/>
      <c r="F118" s="1"/>
      <c r="G118" s="1"/>
      <c r="H118" s="73"/>
      <c r="I118" s="9"/>
      <c r="J118" s="1"/>
      <c r="K118" s="8"/>
      <c r="L118" s="1"/>
      <c r="M118" s="1"/>
      <c r="N118" s="1"/>
    </row>
    <row r="119" spans="1:14" s="5" customFormat="1" ht="33.6" customHeight="1">
      <c r="A119" s="1"/>
      <c r="B119" s="1"/>
      <c r="C119" s="1"/>
      <c r="D119" s="1"/>
      <c r="E119" s="1"/>
      <c r="F119" s="1"/>
      <c r="G119" s="1"/>
      <c r="H119" s="73"/>
      <c r="I119" s="9"/>
      <c r="J119" s="1"/>
      <c r="K119" s="8"/>
      <c r="L119" s="1"/>
      <c r="M119" s="1"/>
      <c r="N119" s="1"/>
    </row>
    <row r="120" spans="1:14" s="5" customFormat="1" ht="33.6" customHeight="1">
      <c r="A120" s="1"/>
      <c r="B120" s="1"/>
      <c r="C120" s="1"/>
      <c r="D120" s="1"/>
      <c r="E120" s="1"/>
      <c r="F120" s="1"/>
      <c r="G120" s="1"/>
      <c r="H120" s="73"/>
      <c r="I120" s="9"/>
      <c r="J120" s="1"/>
      <c r="K120" s="8"/>
      <c r="L120" s="1"/>
      <c r="M120" s="1"/>
      <c r="N120" s="1"/>
    </row>
    <row r="121" spans="1:14" s="5" customFormat="1" ht="33.6" customHeight="1">
      <c r="A121" s="1"/>
      <c r="B121" s="1"/>
      <c r="C121" s="1"/>
      <c r="D121" s="1"/>
      <c r="E121" s="1"/>
      <c r="F121" s="1"/>
      <c r="G121" s="1"/>
      <c r="H121" s="73"/>
      <c r="I121" s="9"/>
      <c r="J121" s="1"/>
      <c r="K121" s="8"/>
      <c r="L121" s="1"/>
      <c r="M121" s="1"/>
      <c r="N121" s="1"/>
    </row>
    <row r="122" spans="1:14" s="5" customFormat="1" ht="33.75" customHeight="1">
      <c r="A122" s="1"/>
      <c r="B122" s="1"/>
      <c r="C122" s="1"/>
      <c r="D122" s="1"/>
      <c r="E122" s="1"/>
      <c r="F122" s="1"/>
      <c r="G122" s="1"/>
      <c r="H122" s="73"/>
      <c r="I122" s="9"/>
      <c r="J122" s="1"/>
      <c r="K122" s="8"/>
      <c r="L122" s="1"/>
      <c r="M122" s="1"/>
      <c r="N122" s="1"/>
    </row>
    <row r="123" spans="1:14" s="5" customFormat="1" ht="33.75" customHeight="1">
      <c r="A123" s="1"/>
      <c r="B123" s="1"/>
      <c r="C123" s="1"/>
      <c r="D123" s="1"/>
      <c r="E123" s="1"/>
      <c r="F123" s="1"/>
      <c r="G123" s="1"/>
      <c r="H123" s="73"/>
      <c r="I123" s="9"/>
      <c r="J123" s="1"/>
      <c r="K123" s="8"/>
      <c r="L123" s="1"/>
      <c r="M123" s="1"/>
      <c r="N123" s="1"/>
    </row>
    <row r="124" spans="1:14" s="5" customFormat="1" ht="33.75" customHeight="1">
      <c r="A124" s="1"/>
      <c r="B124" s="1"/>
      <c r="C124" s="1"/>
      <c r="D124" s="1"/>
      <c r="E124" s="1"/>
      <c r="F124" s="1"/>
      <c r="G124" s="1"/>
      <c r="H124" s="73"/>
      <c r="I124" s="9"/>
      <c r="J124" s="1"/>
      <c r="K124" s="8"/>
      <c r="L124" s="1"/>
      <c r="M124" s="1"/>
      <c r="N124" s="1"/>
    </row>
    <row r="125" spans="1:14" s="5" customFormat="1" ht="33" customHeight="1">
      <c r="A125" s="1"/>
      <c r="B125" s="1"/>
      <c r="C125" s="1"/>
      <c r="D125" s="1"/>
      <c r="E125" s="1"/>
      <c r="F125" s="1"/>
      <c r="G125" s="1"/>
      <c r="H125" s="73"/>
      <c r="I125" s="9"/>
      <c r="J125" s="1"/>
      <c r="K125" s="8"/>
      <c r="L125" s="1"/>
      <c r="M125" s="1"/>
      <c r="N125" s="1"/>
    </row>
    <row r="126" spans="1:14" s="5" customFormat="1" ht="33.75" customHeight="1">
      <c r="A126" s="1"/>
      <c r="B126" s="1"/>
      <c r="C126" s="1"/>
      <c r="D126" s="1"/>
      <c r="E126" s="1"/>
      <c r="F126" s="1"/>
      <c r="G126" s="1"/>
      <c r="H126" s="73"/>
      <c r="I126" s="9"/>
      <c r="J126" s="1"/>
      <c r="K126" s="8"/>
      <c r="L126" s="1"/>
      <c r="M126" s="1"/>
      <c r="N126" s="1"/>
    </row>
    <row r="127" spans="1:14" s="5" customFormat="1" ht="33.75" customHeight="1">
      <c r="A127" s="1"/>
      <c r="B127" s="1"/>
      <c r="C127" s="1"/>
      <c r="D127" s="1"/>
      <c r="E127" s="1"/>
      <c r="F127" s="1"/>
      <c r="G127" s="1"/>
      <c r="H127" s="73"/>
      <c r="I127" s="9"/>
      <c r="J127" s="1"/>
      <c r="K127" s="8"/>
      <c r="L127" s="1"/>
      <c r="M127" s="1"/>
      <c r="N127" s="1"/>
    </row>
    <row r="128" spans="1:14" s="5" customFormat="1" ht="33" customHeight="1">
      <c r="A128" s="1"/>
      <c r="B128" s="1"/>
      <c r="C128" s="1"/>
      <c r="D128" s="1"/>
      <c r="E128" s="1"/>
      <c r="F128" s="1"/>
      <c r="G128" s="1"/>
      <c r="H128" s="73"/>
      <c r="I128" s="9"/>
      <c r="J128" s="1"/>
      <c r="K128" s="8"/>
      <c r="L128" s="1"/>
      <c r="M128" s="1"/>
      <c r="N128" s="1"/>
    </row>
    <row r="129" spans="1:14" s="5" customFormat="1" ht="33.75" customHeight="1">
      <c r="A129" s="1"/>
      <c r="B129" s="1"/>
      <c r="C129" s="1"/>
      <c r="D129" s="1"/>
      <c r="E129" s="1"/>
      <c r="F129" s="1"/>
      <c r="G129" s="1"/>
      <c r="H129" s="73"/>
      <c r="I129" s="9"/>
      <c r="J129" s="1"/>
      <c r="K129" s="8"/>
      <c r="L129" s="1"/>
      <c r="M129" s="1"/>
      <c r="N129" s="1"/>
    </row>
    <row r="130" spans="1:14" s="5" customFormat="1" ht="33.75" customHeight="1">
      <c r="A130" s="1"/>
      <c r="B130" s="1"/>
      <c r="C130" s="1"/>
      <c r="D130" s="1"/>
      <c r="E130" s="1"/>
      <c r="F130" s="1"/>
      <c r="G130" s="1"/>
      <c r="H130" s="73"/>
      <c r="I130" s="9"/>
      <c r="J130" s="1"/>
      <c r="K130" s="8"/>
      <c r="L130" s="1"/>
      <c r="M130" s="1"/>
      <c r="N130" s="1"/>
    </row>
    <row r="131" spans="1:14" s="5" customFormat="1" ht="33.6" customHeight="1">
      <c r="A131" s="1"/>
      <c r="B131" s="1"/>
      <c r="C131" s="1"/>
      <c r="D131" s="1"/>
      <c r="E131" s="1"/>
      <c r="F131" s="1"/>
      <c r="G131" s="1"/>
      <c r="H131" s="73"/>
      <c r="I131" s="9"/>
      <c r="J131" s="1"/>
      <c r="K131" s="8"/>
      <c r="L131" s="1"/>
      <c r="M131" s="1"/>
      <c r="N131" s="1"/>
    </row>
    <row r="132" spans="1:14" s="5" customFormat="1" ht="33.6" customHeight="1">
      <c r="A132" s="1"/>
      <c r="B132" s="1"/>
      <c r="C132" s="1"/>
      <c r="D132" s="1"/>
      <c r="E132" s="1"/>
      <c r="F132" s="1"/>
      <c r="G132" s="1"/>
      <c r="H132" s="73"/>
      <c r="I132" s="9"/>
      <c r="J132" s="1"/>
      <c r="K132" s="8"/>
      <c r="L132" s="1"/>
      <c r="M132" s="1"/>
      <c r="N132" s="1"/>
    </row>
    <row r="133" spans="1:14" ht="33.6" customHeight="1"/>
    <row r="134" spans="1:14" ht="33.6" customHeight="1"/>
  </sheetData>
  <mergeCells count="44">
    <mergeCell ref="G16:G18"/>
    <mergeCell ref="A16:A18"/>
    <mergeCell ref="B16:B18"/>
    <mergeCell ref="C16:C18"/>
    <mergeCell ref="E16:E18"/>
    <mergeCell ref="F16:F18"/>
    <mergeCell ref="H13:H15"/>
    <mergeCell ref="I13:I15"/>
    <mergeCell ref="L13:L15"/>
    <mergeCell ref="M13:M15"/>
    <mergeCell ref="M16:M18"/>
    <mergeCell ref="H16:H18"/>
    <mergeCell ref="I16:I18"/>
    <mergeCell ref="L16:L18"/>
    <mergeCell ref="H10:H12"/>
    <mergeCell ref="I10:I12"/>
    <mergeCell ref="L10:L12"/>
    <mergeCell ref="M10:M12"/>
    <mergeCell ref="A1:M1"/>
    <mergeCell ref="A2:M2"/>
    <mergeCell ref="A3:M3"/>
    <mergeCell ref="J6:K6"/>
    <mergeCell ref="H7:H9"/>
    <mergeCell ref="I7:I9"/>
    <mergeCell ref="L7:L9"/>
    <mergeCell ref="M7:M9"/>
    <mergeCell ref="G7:G9"/>
    <mergeCell ref="A10:A12"/>
    <mergeCell ref="B10:B12"/>
    <mergeCell ref="C10:C12"/>
    <mergeCell ref="G13:G15"/>
    <mergeCell ref="A7:A9"/>
    <mergeCell ref="B7:B9"/>
    <mergeCell ref="C7:C9"/>
    <mergeCell ref="E7:E9"/>
    <mergeCell ref="F7:F9"/>
    <mergeCell ref="A13:A15"/>
    <mergeCell ref="B13:B15"/>
    <mergeCell ref="C13:C15"/>
    <mergeCell ref="E13:E15"/>
    <mergeCell ref="F13:F15"/>
    <mergeCell ref="E10:E12"/>
    <mergeCell ref="F10:F12"/>
    <mergeCell ref="G10:G12"/>
  </mergeCells>
  <conditionalFormatting sqref="F1:F1048576">
    <cfRule type="duplicateValues" dxfId="0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scale="55" fitToHeight="0" orientation="landscape" r:id="rId1"/>
  <rowBreaks count="1" manualBreakCount="1">
    <brk id="27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M24"/>
  <sheetViews>
    <sheetView view="pageBreakPreview" topLeftCell="A7" zoomScale="117" zoomScaleNormal="90" zoomScaleSheetLayoutView="99" workbookViewId="0">
      <selection activeCell="D7" sqref="D7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0.8554687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259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80" t="s">
        <v>260</v>
      </c>
      <c r="B6" s="82">
        <v>2023302070034</v>
      </c>
      <c r="C6" s="81" t="s">
        <v>261</v>
      </c>
      <c r="D6" s="63"/>
      <c r="E6" s="80" t="str">
        <f>D7</f>
        <v>RICARDO VELA HERNANDEZ</v>
      </c>
      <c r="F6" s="82" t="s">
        <v>263</v>
      </c>
      <c r="G6" s="79">
        <v>45110</v>
      </c>
      <c r="H6" s="114">
        <v>487158.62</v>
      </c>
      <c r="I6" s="105">
        <f>H6*1.16</f>
        <v>565103.99919999996</v>
      </c>
      <c r="J6" s="6" t="s">
        <v>251</v>
      </c>
      <c r="K6" s="64"/>
      <c r="L6" s="106"/>
      <c r="M6" s="107"/>
    </row>
    <row r="7" spans="1:13" s="5" customFormat="1" ht="29.45" customHeight="1">
      <c r="A7" s="80"/>
      <c r="B7" s="80"/>
      <c r="C7" s="81"/>
      <c r="D7" s="59" t="s">
        <v>262</v>
      </c>
      <c r="E7" s="80"/>
      <c r="F7" s="82"/>
      <c r="G7" s="80"/>
      <c r="H7" s="114"/>
      <c r="I7" s="105"/>
      <c r="J7" s="6" t="s">
        <v>252</v>
      </c>
      <c r="K7" s="60">
        <f>H6*0.1</f>
        <v>48715.862000000001</v>
      </c>
      <c r="L7" s="81"/>
      <c r="M7" s="107"/>
    </row>
    <row r="8" spans="1:13" s="5" customFormat="1" ht="29.45" customHeight="1">
      <c r="A8" s="80"/>
      <c r="B8" s="80"/>
      <c r="C8" s="81"/>
      <c r="D8" s="63"/>
      <c r="E8" s="80"/>
      <c r="F8" s="82"/>
      <c r="G8" s="80"/>
      <c r="H8" s="114"/>
      <c r="I8" s="105"/>
      <c r="J8" s="6" t="s">
        <v>254</v>
      </c>
      <c r="K8" s="61"/>
      <c r="L8" s="81"/>
      <c r="M8" s="107"/>
    </row>
    <row r="9" spans="1:13" s="5" customFormat="1" ht="29.45" customHeight="1">
      <c r="A9" s="80" t="s">
        <v>253</v>
      </c>
      <c r="B9" s="82">
        <v>2023302070013</v>
      </c>
      <c r="C9" s="81" t="s">
        <v>264</v>
      </c>
      <c r="D9" s="59" t="s">
        <v>265</v>
      </c>
      <c r="E9" s="80" t="str">
        <f>D10</f>
        <v>EQUIPOS INDUSTRIALES SENTERVER S.A. DE C.V.</v>
      </c>
      <c r="F9" s="82" t="s">
        <v>267</v>
      </c>
      <c r="G9" s="79">
        <v>45119</v>
      </c>
      <c r="H9" s="114">
        <v>685526.17</v>
      </c>
      <c r="I9" s="105">
        <f>H9*1.16</f>
        <v>795210.35719999997</v>
      </c>
      <c r="J9" s="62" t="s">
        <v>251</v>
      </c>
      <c r="K9" s="60">
        <f>I9*0.3</f>
        <v>238563.10715999999</v>
      </c>
      <c r="L9" s="106"/>
      <c r="M9" s="107"/>
    </row>
    <row r="10" spans="1:13" s="5" customFormat="1" ht="29.45" customHeight="1">
      <c r="A10" s="80"/>
      <c r="B10" s="80"/>
      <c r="C10" s="81"/>
      <c r="D10" s="59" t="s">
        <v>257</v>
      </c>
      <c r="E10" s="80"/>
      <c r="F10" s="82"/>
      <c r="G10" s="80"/>
      <c r="H10" s="114"/>
      <c r="I10" s="105"/>
      <c r="J10" s="6" t="s">
        <v>252</v>
      </c>
      <c r="K10" s="60">
        <f>H9*0.1</f>
        <v>68552.617000000013</v>
      </c>
      <c r="L10" s="81"/>
      <c r="M10" s="107"/>
    </row>
    <row r="11" spans="1:13" s="5" customFormat="1" ht="29.45" customHeight="1">
      <c r="A11" s="80"/>
      <c r="B11" s="80"/>
      <c r="C11" s="81"/>
      <c r="D11" s="59" t="s">
        <v>266</v>
      </c>
      <c r="E11" s="80"/>
      <c r="F11" s="82"/>
      <c r="G11" s="80"/>
      <c r="H11" s="114"/>
      <c r="I11" s="105"/>
      <c r="J11" s="6" t="s">
        <v>254</v>
      </c>
      <c r="K11" s="60"/>
      <c r="L11" s="81"/>
      <c r="M11" s="107"/>
    </row>
    <row r="12" spans="1:13" s="5" customFormat="1" ht="29.45" customHeight="1">
      <c r="A12" s="80" t="s">
        <v>260</v>
      </c>
      <c r="B12" s="82">
        <v>2023302070035</v>
      </c>
      <c r="C12" s="81" t="s">
        <v>268</v>
      </c>
      <c r="D12" s="63"/>
      <c r="E12" s="80" t="str">
        <f>D13</f>
        <v>AISLAMIENTO OBRAS Y SERVICIOS INDUSTRIALES MR S.A. DE C.V.</v>
      </c>
      <c r="F12" s="82" t="s">
        <v>269</v>
      </c>
      <c r="G12" s="79">
        <v>45131</v>
      </c>
      <c r="H12" s="115">
        <v>506233.3</v>
      </c>
      <c r="I12" s="105">
        <f>H12*1.16</f>
        <v>587230.62799999991</v>
      </c>
      <c r="J12" s="6" t="s">
        <v>251</v>
      </c>
      <c r="K12" s="64"/>
      <c r="L12" s="106"/>
      <c r="M12" s="107"/>
    </row>
    <row r="13" spans="1:13" s="5" customFormat="1" ht="33.75">
      <c r="A13" s="80"/>
      <c r="B13" s="80"/>
      <c r="C13" s="81"/>
      <c r="D13" s="59" t="s">
        <v>270</v>
      </c>
      <c r="E13" s="80"/>
      <c r="F13" s="82"/>
      <c r="G13" s="80"/>
      <c r="H13" s="114"/>
      <c r="I13" s="105"/>
      <c r="J13" s="6" t="s">
        <v>252</v>
      </c>
      <c r="K13" s="60">
        <f>H12*0.1</f>
        <v>50623.33</v>
      </c>
      <c r="L13" s="81"/>
      <c r="M13" s="107"/>
    </row>
    <row r="14" spans="1:13" s="5" customFormat="1" ht="29.45" customHeight="1">
      <c r="A14" s="80"/>
      <c r="B14" s="80"/>
      <c r="C14" s="81"/>
      <c r="D14" s="63"/>
      <c r="E14" s="80"/>
      <c r="F14" s="82"/>
      <c r="G14" s="80"/>
      <c r="H14" s="114"/>
      <c r="I14" s="105"/>
      <c r="J14" s="6" t="s">
        <v>254</v>
      </c>
      <c r="K14" s="61"/>
      <c r="L14" s="81"/>
      <c r="M14" s="107"/>
    </row>
    <row r="15" spans="1:13" s="5" customFormat="1" ht="33.75">
      <c r="A15" s="80" t="s">
        <v>253</v>
      </c>
      <c r="B15" s="82">
        <v>2023302070007</v>
      </c>
      <c r="C15" s="81" t="s">
        <v>271</v>
      </c>
      <c r="D15" s="59" t="s">
        <v>256</v>
      </c>
      <c r="E15" s="80" t="str">
        <f>D16</f>
        <v>IVONNE VILLALOBOS ANTONIO</v>
      </c>
      <c r="F15" s="82" t="s">
        <v>273</v>
      </c>
      <c r="G15" s="79">
        <v>45135</v>
      </c>
      <c r="H15" s="114">
        <v>1093337.93</v>
      </c>
      <c r="I15" s="105">
        <f>H15*1.16</f>
        <v>1268271.9987999999</v>
      </c>
      <c r="J15" s="6" t="s">
        <v>251</v>
      </c>
      <c r="K15" s="60">
        <f>I15*0.3</f>
        <v>380481.59963999997</v>
      </c>
      <c r="L15" s="106"/>
      <c r="M15" s="107"/>
    </row>
    <row r="16" spans="1:13" s="5" customFormat="1" ht="29.45" customHeight="1">
      <c r="A16" s="80"/>
      <c r="B16" s="80"/>
      <c r="C16" s="81"/>
      <c r="D16" s="59" t="s">
        <v>272</v>
      </c>
      <c r="E16" s="80"/>
      <c r="F16" s="82"/>
      <c r="G16" s="80"/>
      <c r="H16" s="114"/>
      <c r="I16" s="105"/>
      <c r="J16" s="6" t="s">
        <v>252</v>
      </c>
      <c r="K16" s="60">
        <f>H15*0.1</f>
        <v>109333.79300000001</v>
      </c>
      <c r="L16" s="81"/>
      <c r="M16" s="107"/>
    </row>
    <row r="17" spans="1:13" s="5" customFormat="1" ht="29.45" customHeight="1">
      <c r="A17" s="80"/>
      <c r="B17" s="80"/>
      <c r="C17" s="81"/>
      <c r="D17" s="59" t="s">
        <v>265</v>
      </c>
      <c r="E17" s="80"/>
      <c r="F17" s="82"/>
      <c r="G17" s="80"/>
      <c r="H17" s="114"/>
      <c r="I17" s="105"/>
      <c r="J17" s="6" t="s">
        <v>254</v>
      </c>
      <c r="K17" s="61"/>
      <c r="L17" s="81"/>
      <c r="M17" s="107"/>
    </row>
    <row r="18" spans="1:13" s="5" customFormat="1" ht="15.75" customHeight="1">
      <c r="A18" s="50"/>
      <c r="B18" s="51"/>
      <c r="C18" s="50"/>
      <c r="D18" s="52"/>
      <c r="E18" s="51"/>
      <c r="F18" s="53"/>
      <c r="G18" s="51"/>
      <c r="H18" s="54"/>
      <c r="I18" s="55"/>
      <c r="J18" s="56"/>
      <c r="K18" s="57"/>
      <c r="L18" s="50"/>
      <c r="M18" s="58"/>
    </row>
    <row r="19" spans="1:13" s="5" customFormat="1" ht="15.75" customHeight="1">
      <c r="A19" s="50"/>
      <c r="B19" s="51"/>
      <c r="C19" s="50"/>
      <c r="D19" s="52"/>
      <c r="E19" s="51"/>
      <c r="F19" s="53"/>
      <c r="G19" s="51"/>
      <c r="H19" s="54"/>
      <c r="I19" s="55"/>
      <c r="J19" s="56"/>
      <c r="K19" s="57"/>
      <c r="L19" s="50"/>
      <c r="M19" s="58"/>
    </row>
    <row r="20" spans="1:13" s="5" customFormat="1" ht="15.75" customHeight="1">
      <c r="A20" s="50"/>
      <c r="B20" s="51"/>
      <c r="C20" s="50"/>
      <c r="D20" s="52"/>
      <c r="E20" s="51"/>
      <c r="F20" s="53"/>
      <c r="G20" s="51"/>
      <c r="H20" s="54"/>
      <c r="I20" s="55"/>
      <c r="J20" s="56"/>
      <c r="K20" s="57"/>
      <c r="L20" s="50"/>
      <c r="M20" s="58"/>
    </row>
    <row r="21" spans="1:13" s="5" customFormat="1" ht="15.75" customHeight="1">
      <c r="A21" s="50"/>
      <c r="B21" s="51"/>
      <c r="C21" s="50"/>
      <c r="D21" s="52"/>
      <c r="E21" s="51"/>
      <c r="F21" s="53"/>
      <c r="G21" s="51"/>
      <c r="H21" s="54"/>
      <c r="I21" s="55"/>
      <c r="J21" s="56"/>
      <c r="K21" s="57"/>
      <c r="L21" s="50"/>
      <c r="M21" s="58"/>
    </row>
    <row r="22" spans="1:13" s="5" customFormat="1" ht="15.75" customHeight="1">
      <c r="A22" s="50"/>
      <c r="B22" s="51"/>
      <c r="C22" s="50"/>
      <c r="D22" s="52"/>
      <c r="E22" s="51"/>
      <c r="F22" s="53"/>
      <c r="G22" s="51"/>
      <c r="H22" s="54"/>
      <c r="I22" s="55"/>
      <c r="J22" s="56"/>
      <c r="K22" s="57"/>
      <c r="L22" s="50"/>
      <c r="M22" s="58"/>
    </row>
    <row r="23" spans="1:13" ht="15">
      <c r="K23"/>
    </row>
    <row r="24" spans="1:13" ht="15">
      <c r="K24"/>
    </row>
  </sheetData>
  <mergeCells count="44">
    <mergeCell ref="A15:A17"/>
    <mergeCell ref="B15:B17"/>
    <mergeCell ref="C15:C17"/>
    <mergeCell ref="E15:E17"/>
    <mergeCell ref="F15:F17"/>
    <mergeCell ref="G15:G17"/>
    <mergeCell ref="H9:H11"/>
    <mergeCell ref="I9:I11"/>
    <mergeCell ref="L9:L11"/>
    <mergeCell ref="M9:M11"/>
    <mergeCell ref="G12:G14"/>
    <mergeCell ref="H15:H17"/>
    <mergeCell ref="I15:I17"/>
    <mergeCell ref="L15:L17"/>
    <mergeCell ref="M15:M17"/>
    <mergeCell ref="H12:H14"/>
    <mergeCell ref="I12:I14"/>
    <mergeCell ref="L12:L14"/>
    <mergeCell ref="M12:M14"/>
    <mergeCell ref="G9:G11"/>
    <mergeCell ref="A12:A14"/>
    <mergeCell ref="B12:B14"/>
    <mergeCell ref="C12:C14"/>
    <mergeCell ref="E12:E14"/>
    <mergeCell ref="F12:F14"/>
    <mergeCell ref="A9:A11"/>
    <mergeCell ref="B9:B11"/>
    <mergeCell ref="C9:C11"/>
    <mergeCell ref="E9:E11"/>
    <mergeCell ref="F9:F11"/>
    <mergeCell ref="A1:M1"/>
    <mergeCell ref="A2:M2"/>
    <mergeCell ref="A3:M3"/>
    <mergeCell ref="J5:K5"/>
    <mergeCell ref="A6:A8"/>
    <mergeCell ref="B6:B8"/>
    <mergeCell ref="C6:C8"/>
    <mergeCell ref="E6:E8"/>
    <mergeCell ref="F6:F8"/>
    <mergeCell ref="G6:G8"/>
    <mergeCell ref="H6:H8"/>
    <mergeCell ref="I6:I8"/>
    <mergeCell ref="L6:L8"/>
    <mergeCell ref="M6:M8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M21"/>
  <sheetViews>
    <sheetView view="pageBreakPreview" zoomScale="117" zoomScaleNormal="90" zoomScaleSheetLayoutView="99" workbookViewId="0">
      <selection activeCell="C12" sqref="C12:C14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1.2851562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274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83" t="s">
        <v>253</v>
      </c>
      <c r="B6" s="86">
        <v>2023302070029</v>
      </c>
      <c r="C6" s="108" t="s">
        <v>275</v>
      </c>
      <c r="D6" s="59" t="s">
        <v>265</v>
      </c>
      <c r="E6" s="83" t="str">
        <f>D7</f>
        <v>PABLO LUCAS HERNANDEZ CAMACHO</v>
      </c>
      <c r="F6" s="86" t="s">
        <v>276</v>
      </c>
      <c r="G6" s="116">
        <v>45145</v>
      </c>
      <c r="H6" s="119">
        <v>888254.42</v>
      </c>
      <c r="I6" s="92">
        <f>H6*1.16</f>
        <v>1030375.1272</v>
      </c>
      <c r="J6" s="65" t="s">
        <v>251</v>
      </c>
      <c r="K6" s="61">
        <f>I6*0.3</f>
        <v>309112.53816</v>
      </c>
      <c r="L6" s="95"/>
      <c r="M6" s="98"/>
    </row>
    <row r="7" spans="1:13" s="5" customFormat="1" ht="29.45" customHeight="1">
      <c r="A7" s="84"/>
      <c r="B7" s="87"/>
      <c r="C7" s="109"/>
      <c r="D7" s="59" t="s">
        <v>255</v>
      </c>
      <c r="E7" s="84"/>
      <c r="F7" s="87"/>
      <c r="G7" s="117"/>
      <c r="H7" s="120"/>
      <c r="I7" s="93"/>
      <c r="J7" s="66" t="s">
        <v>252</v>
      </c>
      <c r="K7" s="61">
        <f>H6*0.1</f>
        <v>88825.44200000001</v>
      </c>
      <c r="L7" s="96"/>
      <c r="M7" s="99"/>
    </row>
    <row r="8" spans="1:13" s="5" customFormat="1" ht="29.45" customHeight="1">
      <c r="A8" s="85"/>
      <c r="B8" s="88"/>
      <c r="C8" s="110"/>
      <c r="D8" s="59" t="s">
        <v>277</v>
      </c>
      <c r="E8" s="85"/>
      <c r="F8" s="88"/>
      <c r="G8" s="118"/>
      <c r="H8" s="121"/>
      <c r="I8" s="94"/>
      <c r="J8" s="66" t="s">
        <v>254</v>
      </c>
      <c r="K8" s="61"/>
      <c r="L8" s="97"/>
      <c r="M8" s="100"/>
    </row>
    <row r="9" spans="1:13" s="5" customFormat="1" ht="29.45" customHeight="1">
      <c r="A9" s="83" t="s">
        <v>253</v>
      </c>
      <c r="B9" s="86">
        <v>2023302070011</v>
      </c>
      <c r="C9" s="108" t="s">
        <v>278</v>
      </c>
      <c r="D9" s="59" t="s">
        <v>272</v>
      </c>
      <c r="E9" s="83" t="s">
        <v>265</v>
      </c>
      <c r="F9" s="86" t="s">
        <v>279</v>
      </c>
      <c r="G9" s="116">
        <v>45153</v>
      </c>
      <c r="H9" s="122">
        <v>1330000</v>
      </c>
      <c r="I9" s="92">
        <f>H9*1.16</f>
        <v>1542800</v>
      </c>
      <c r="J9" s="66" t="s">
        <v>251</v>
      </c>
      <c r="K9" s="67">
        <f>I9*0.3</f>
        <v>462840</v>
      </c>
      <c r="L9" s="95"/>
      <c r="M9" s="98"/>
    </row>
    <row r="10" spans="1:13" s="5" customFormat="1" ht="30" customHeight="1">
      <c r="A10" s="84"/>
      <c r="B10" s="87"/>
      <c r="C10" s="109"/>
      <c r="D10" s="59" t="s">
        <v>265</v>
      </c>
      <c r="E10" s="84"/>
      <c r="F10" s="87"/>
      <c r="G10" s="117"/>
      <c r="H10" s="123"/>
      <c r="I10" s="93"/>
      <c r="J10" s="66" t="s">
        <v>252</v>
      </c>
      <c r="K10" s="61">
        <f>H9*0.1</f>
        <v>133000</v>
      </c>
      <c r="L10" s="96"/>
      <c r="M10" s="99"/>
    </row>
    <row r="11" spans="1:13" s="5" customFormat="1" ht="29.45" customHeight="1">
      <c r="A11" s="85"/>
      <c r="B11" s="88"/>
      <c r="C11" s="110"/>
      <c r="D11" s="59" t="s">
        <v>258</v>
      </c>
      <c r="E11" s="85"/>
      <c r="F11" s="88"/>
      <c r="G11" s="118"/>
      <c r="H11" s="124"/>
      <c r="I11" s="94"/>
      <c r="J11" s="66" t="s">
        <v>254</v>
      </c>
      <c r="K11" s="61"/>
      <c r="L11" s="97"/>
      <c r="M11" s="100"/>
    </row>
    <row r="12" spans="1:13" s="5" customFormat="1" ht="25.15" customHeight="1">
      <c r="A12" s="80" t="s">
        <v>253</v>
      </c>
      <c r="B12" s="82">
        <v>2023302070006</v>
      </c>
      <c r="C12" s="81" t="s">
        <v>280</v>
      </c>
      <c r="D12" s="59" t="s">
        <v>266</v>
      </c>
      <c r="E12" s="80" t="str">
        <f>D13</f>
        <v>IVONNE VILLALOBOS ANTONIO</v>
      </c>
      <c r="F12" s="82" t="s">
        <v>281</v>
      </c>
      <c r="G12" s="79">
        <v>45159</v>
      </c>
      <c r="H12" s="114">
        <v>1114310.51</v>
      </c>
      <c r="I12" s="105">
        <f>H12*1.16</f>
        <v>1292600.1916</v>
      </c>
      <c r="J12" s="66" t="s">
        <v>251</v>
      </c>
      <c r="K12" s="61">
        <f>I12*0.3</f>
        <v>387780.05748000002</v>
      </c>
      <c r="L12" s="106"/>
      <c r="M12" s="107"/>
    </row>
    <row r="13" spans="1:13" s="5" customFormat="1" ht="29.45" customHeight="1">
      <c r="A13" s="80"/>
      <c r="B13" s="80"/>
      <c r="C13" s="81"/>
      <c r="D13" s="59" t="s">
        <v>272</v>
      </c>
      <c r="E13" s="80"/>
      <c r="F13" s="82"/>
      <c r="G13" s="80"/>
      <c r="H13" s="114"/>
      <c r="I13" s="105"/>
      <c r="J13" s="66" t="s">
        <v>252</v>
      </c>
      <c r="K13" s="61">
        <f>H12*0.1</f>
        <v>111431.05100000001</v>
      </c>
      <c r="L13" s="81"/>
      <c r="M13" s="107"/>
    </row>
    <row r="14" spans="1:13" s="5" customFormat="1" ht="29.45" customHeight="1">
      <c r="A14" s="80"/>
      <c r="B14" s="80"/>
      <c r="C14" s="81"/>
      <c r="D14" s="59" t="s">
        <v>257</v>
      </c>
      <c r="E14" s="80"/>
      <c r="F14" s="82"/>
      <c r="G14" s="80"/>
      <c r="H14" s="114"/>
      <c r="I14" s="105"/>
      <c r="J14" s="66" t="s">
        <v>254</v>
      </c>
      <c r="K14" s="61"/>
      <c r="L14" s="81"/>
      <c r="M14" s="107"/>
    </row>
    <row r="15" spans="1:13" s="5" customFormat="1" ht="15.75" customHeight="1">
      <c r="A15" s="50"/>
      <c r="B15" s="51"/>
      <c r="C15" s="50"/>
      <c r="D15" s="52"/>
      <c r="E15" s="51"/>
      <c r="F15" s="53"/>
      <c r="G15" s="51"/>
      <c r="H15" s="54"/>
      <c r="I15" s="55"/>
      <c r="J15" s="56"/>
      <c r="K15" s="57"/>
      <c r="L15" s="50"/>
      <c r="M15" s="58"/>
    </row>
    <row r="16" spans="1:13" s="5" customFormat="1" ht="15.75" customHeight="1">
      <c r="A16" s="50"/>
      <c r="B16" s="51"/>
      <c r="C16" s="50"/>
      <c r="D16" s="52"/>
      <c r="E16" s="51"/>
      <c r="F16" s="53"/>
      <c r="G16" s="51"/>
      <c r="I16" s="55"/>
      <c r="J16" s="56"/>
      <c r="K16" s="57"/>
      <c r="L16" s="50"/>
      <c r="M16" s="58"/>
    </row>
    <row r="17" spans="1:13" s="5" customFormat="1" ht="15.75" customHeight="1">
      <c r="A17" s="50"/>
      <c r="B17" s="51"/>
      <c r="C17" s="50"/>
      <c r="D17" s="52"/>
      <c r="E17" s="51"/>
      <c r="F17" s="53"/>
      <c r="G17" s="51"/>
      <c r="H17" s="54"/>
      <c r="I17" s="55"/>
      <c r="J17" s="56"/>
      <c r="K17" s="57"/>
      <c r="L17" s="50"/>
      <c r="M17" s="58"/>
    </row>
    <row r="18" spans="1:13" s="5" customFormat="1" ht="15.75" customHeight="1">
      <c r="A18" s="50"/>
      <c r="B18" s="51"/>
      <c r="C18" s="50"/>
      <c r="D18" s="52"/>
      <c r="E18" s="51"/>
      <c r="F18" s="53"/>
      <c r="G18" s="51"/>
      <c r="H18" s="54"/>
      <c r="I18" s="55"/>
      <c r="J18" s="56"/>
      <c r="K18" s="57"/>
      <c r="L18" s="50"/>
      <c r="M18" s="58"/>
    </row>
    <row r="19" spans="1:13" s="5" customFormat="1" ht="15.75" customHeight="1">
      <c r="A19" s="50"/>
      <c r="B19" s="51"/>
      <c r="C19" s="50"/>
      <c r="D19" s="52"/>
      <c r="E19" s="51"/>
      <c r="F19" s="53"/>
      <c r="G19" s="51"/>
      <c r="H19" s="54"/>
      <c r="I19" s="55"/>
      <c r="J19" s="56"/>
      <c r="K19" s="57"/>
      <c r="L19" s="50"/>
      <c r="M19" s="58"/>
    </row>
    <row r="20" spans="1:13" ht="15">
      <c r="K20"/>
    </row>
    <row r="21" spans="1:13" ht="15">
      <c r="K21"/>
    </row>
  </sheetData>
  <mergeCells count="34">
    <mergeCell ref="A1:M1"/>
    <mergeCell ref="A2:M2"/>
    <mergeCell ref="A3:M3"/>
    <mergeCell ref="J5:K5"/>
    <mergeCell ref="A12:A14"/>
    <mergeCell ref="B12:B14"/>
    <mergeCell ref="C12:C14"/>
    <mergeCell ref="E12:E14"/>
    <mergeCell ref="F12:F14"/>
    <mergeCell ref="H12:H14"/>
    <mergeCell ref="I12:I14"/>
    <mergeCell ref="L12:L14"/>
    <mergeCell ref="M12:M14"/>
    <mergeCell ref="G6:G8"/>
    <mergeCell ref="H9:H11"/>
    <mergeCell ref="I9:I11"/>
    <mergeCell ref="L9:L11"/>
    <mergeCell ref="M9:M11"/>
    <mergeCell ref="G12:G14"/>
    <mergeCell ref="H6:H8"/>
    <mergeCell ref="I6:I8"/>
    <mergeCell ref="L6:L8"/>
    <mergeCell ref="M6:M8"/>
    <mergeCell ref="E6:E8"/>
    <mergeCell ref="C6:C8"/>
    <mergeCell ref="B6:B8"/>
    <mergeCell ref="A6:A8"/>
    <mergeCell ref="G9:G11"/>
    <mergeCell ref="F9:F11"/>
    <mergeCell ref="E9:E11"/>
    <mergeCell ref="C9:C11"/>
    <mergeCell ref="B9:B11"/>
    <mergeCell ref="A9:A11"/>
    <mergeCell ref="F6:F8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M30"/>
  <sheetViews>
    <sheetView view="pageBreakPreview" topLeftCell="A7" zoomScale="113" zoomScaleNormal="90" zoomScaleSheetLayoutView="99" workbookViewId="0">
      <selection activeCell="D7" sqref="D7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1.2851562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282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125" t="s">
        <v>284</v>
      </c>
      <c r="B6" s="86">
        <v>2023302070014</v>
      </c>
      <c r="C6" s="108" t="s">
        <v>285</v>
      </c>
      <c r="D6" s="63"/>
      <c r="E6" s="83" t="s">
        <v>286</v>
      </c>
      <c r="F6" s="86" t="s">
        <v>283</v>
      </c>
      <c r="G6" s="116">
        <v>45174</v>
      </c>
      <c r="H6" s="119">
        <v>507797.96</v>
      </c>
      <c r="I6" s="92">
        <f>H6*1.16</f>
        <v>589045.63359999994</v>
      </c>
      <c r="J6" s="65" t="s">
        <v>251</v>
      </c>
      <c r="K6" s="61">
        <v>0</v>
      </c>
      <c r="L6" s="95"/>
      <c r="M6" s="98"/>
    </row>
    <row r="7" spans="1:13" s="5" customFormat="1" ht="29.45" customHeight="1">
      <c r="A7" s="126"/>
      <c r="B7" s="87"/>
      <c r="C7" s="109"/>
      <c r="D7" s="59" t="s">
        <v>286</v>
      </c>
      <c r="E7" s="84"/>
      <c r="F7" s="87"/>
      <c r="G7" s="117"/>
      <c r="H7" s="120"/>
      <c r="I7" s="93"/>
      <c r="J7" s="66" t="s">
        <v>252</v>
      </c>
      <c r="K7" s="61">
        <f>H6*0.1</f>
        <v>50779.796000000002</v>
      </c>
      <c r="L7" s="96"/>
      <c r="M7" s="99"/>
    </row>
    <row r="8" spans="1:13" s="5" customFormat="1" ht="29.45" customHeight="1">
      <c r="A8" s="127"/>
      <c r="B8" s="88"/>
      <c r="C8" s="110"/>
      <c r="D8" s="63"/>
      <c r="E8" s="85"/>
      <c r="F8" s="88"/>
      <c r="G8" s="118"/>
      <c r="H8" s="121"/>
      <c r="I8" s="94"/>
      <c r="J8" s="66" t="s">
        <v>254</v>
      </c>
      <c r="K8" s="61"/>
      <c r="L8" s="97"/>
      <c r="M8" s="100"/>
    </row>
    <row r="9" spans="1:13" s="5" customFormat="1" ht="29.45" customHeight="1">
      <c r="A9" s="125" t="s">
        <v>253</v>
      </c>
      <c r="B9" s="86">
        <v>2023302070032</v>
      </c>
      <c r="C9" s="108" t="s">
        <v>288</v>
      </c>
      <c r="D9" s="59" t="s">
        <v>301</v>
      </c>
      <c r="E9" s="83" t="s">
        <v>270</v>
      </c>
      <c r="F9" s="86" t="s">
        <v>287</v>
      </c>
      <c r="G9" s="116">
        <v>45176</v>
      </c>
      <c r="H9" s="122">
        <v>859873.79</v>
      </c>
      <c r="I9" s="92">
        <f>H9*1.16</f>
        <v>997453.59639999992</v>
      </c>
      <c r="J9" s="66" t="s">
        <v>251</v>
      </c>
      <c r="K9" s="67">
        <v>0</v>
      </c>
      <c r="L9" s="95"/>
      <c r="M9" s="98"/>
    </row>
    <row r="10" spans="1:13" s="5" customFormat="1" ht="30" customHeight="1">
      <c r="A10" s="126"/>
      <c r="B10" s="87"/>
      <c r="C10" s="109"/>
      <c r="D10" s="59" t="s">
        <v>291</v>
      </c>
      <c r="E10" s="84"/>
      <c r="F10" s="87"/>
      <c r="G10" s="117"/>
      <c r="H10" s="123"/>
      <c r="I10" s="93"/>
      <c r="J10" s="66" t="s">
        <v>252</v>
      </c>
      <c r="K10" s="61">
        <f>H9*0.1</f>
        <v>85987.379000000015</v>
      </c>
      <c r="L10" s="96"/>
      <c r="M10" s="99"/>
    </row>
    <row r="11" spans="1:13" s="5" customFormat="1" ht="44.45" customHeight="1">
      <c r="A11" s="127"/>
      <c r="B11" s="88"/>
      <c r="C11" s="110"/>
      <c r="D11" s="59" t="s">
        <v>270</v>
      </c>
      <c r="E11" s="85"/>
      <c r="F11" s="88"/>
      <c r="G11" s="118"/>
      <c r="H11" s="124"/>
      <c r="I11" s="94"/>
      <c r="J11" s="66" t="s">
        <v>254</v>
      </c>
      <c r="K11" s="61"/>
      <c r="L11" s="97"/>
      <c r="M11" s="100"/>
    </row>
    <row r="12" spans="1:13" s="5" customFormat="1" ht="31.9" customHeight="1">
      <c r="A12" s="128" t="s">
        <v>253</v>
      </c>
      <c r="B12" s="82">
        <v>2023302070017</v>
      </c>
      <c r="C12" s="81" t="s">
        <v>289</v>
      </c>
      <c r="D12" s="59" t="s">
        <v>265</v>
      </c>
      <c r="E12" s="80" t="s">
        <v>258</v>
      </c>
      <c r="F12" s="82" t="s">
        <v>290</v>
      </c>
      <c r="G12" s="79">
        <v>45184</v>
      </c>
      <c r="H12" s="114">
        <v>1205251.82</v>
      </c>
      <c r="I12" s="105">
        <f>H12*1.16</f>
        <v>1398092.1111999999</v>
      </c>
      <c r="J12" s="66" t="s">
        <v>251</v>
      </c>
      <c r="K12" s="61">
        <f>I12*0.3</f>
        <v>419427.63335999998</v>
      </c>
      <c r="L12" s="106"/>
      <c r="M12" s="107"/>
    </row>
    <row r="13" spans="1:13" s="5" customFormat="1" ht="31.9" customHeight="1">
      <c r="A13" s="128"/>
      <c r="B13" s="80"/>
      <c r="C13" s="81"/>
      <c r="D13" s="59" t="s">
        <v>258</v>
      </c>
      <c r="E13" s="80"/>
      <c r="F13" s="82"/>
      <c r="G13" s="80"/>
      <c r="H13" s="114"/>
      <c r="I13" s="105"/>
      <c r="J13" s="66" t="s">
        <v>252</v>
      </c>
      <c r="K13" s="61">
        <f>H12*0.1</f>
        <v>120525.18200000002</v>
      </c>
      <c r="L13" s="81"/>
      <c r="M13" s="107"/>
    </row>
    <row r="14" spans="1:13" s="5" customFormat="1" ht="31.9" customHeight="1">
      <c r="A14" s="128"/>
      <c r="B14" s="80"/>
      <c r="C14" s="81"/>
      <c r="D14" s="59" t="s">
        <v>291</v>
      </c>
      <c r="E14" s="80"/>
      <c r="F14" s="82"/>
      <c r="G14" s="80"/>
      <c r="H14" s="114"/>
      <c r="I14" s="105"/>
      <c r="J14" s="66" t="s">
        <v>254</v>
      </c>
      <c r="K14" s="61"/>
      <c r="L14" s="81"/>
      <c r="M14" s="107"/>
    </row>
    <row r="15" spans="1:13" s="5" customFormat="1" ht="37.15" customHeight="1">
      <c r="A15" s="128" t="s">
        <v>253</v>
      </c>
      <c r="B15" s="82">
        <v>2023302070031</v>
      </c>
      <c r="C15" s="81" t="s">
        <v>292</v>
      </c>
      <c r="D15" s="59" t="s">
        <v>294</v>
      </c>
      <c r="E15" s="80" t="s">
        <v>294</v>
      </c>
      <c r="F15" s="82" t="s">
        <v>293</v>
      </c>
      <c r="G15" s="79">
        <v>45187</v>
      </c>
      <c r="H15" s="114">
        <v>1075199.06</v>
      </c>
      <c r="I15" s="105">
        <f>H15*1.16</f>
        <v>1247230.9095999999</v>
      </c>
      <c r="J15" s="66" t="s">
        <v>251</v>
      </c>
      <c r="K15" s="61">
        <f>I15*0.3</f>
        <v>374169.27287999995</v>
      </c>
      <c r="L15" s="106"/>
      <c r="M15" s="107"/>
    </row>
    <row r="16" spans="1:13" s="5" customFormat="1" ht="37.15" customHeight="1">
      <c r="A16" s="128"/>
      <c r="B16" s="80"/>
      <c r="C16" s="81"/>
      <c r="D16" s="59" t="s">
        <v>291</v>
      </c>
      <c r="E16" s="80"/>
      <c r="F16" s="82"/>
      <c r="G16" s="80"/>
      <c r="H16" s="114"/>
      <c r="I16" s="105"/>
      <c r="J16" s="66" t="s">
        <v>252</v>
      </c>
      <c r="K16" s="61">
        <f>H15*0.1</f>
        <v>107519.90600000002</v>
      </c>
      <c r="L16" s="81"/>
      <c r="M16" s="107"/>
    </row>
    <row r="17" spans="1:13" s="5" customFormat="1" ht="37.15" customHeight="1">
      <c r="A17" s="128"/>
      <c r="B17" s="80"/>
      <c r="C17" s="81"/>
      <c r="D17" s="59" t="s">
        <v>255</v>
      </c>
      <c r="E17" s="80"/>
      <c r="F17" s="82"/>
      <c r="G17" s="80"/>
      <c r="H17" s="114"/>
      <c r="I17" s="105"/>
      <c r="J17" s="66" t="s">
        <v>254</v>
      </c>
      <c r="K17" s="61"/>
      <c r="L17" s="81"/>
      <c r="M17" s="107"/>
    </row>
    <row r="18" spans="1:13" s="5" customFormat="1" ht="37.15" customHeight="1">
      <c r="A18" s="128" t="s">
        <v>253</v>
      </c>
      <c r="B18" s="82">
        <v>2023302070002</v>
      </c>
      <c r="C18" s="81" t="s">
        <v>295</v>
      </c>
      <c r="D18" s="59" t="s">
        <v>302</v>
      </c>
      <c r="E18" s="80" t="s">
        <v>297</v>
      </c>
      <c r="F18" s="82" t="s">
        <v>296</v>
      </c>
      <c r="G18" s="79">
        <v>45184</v>
      </c>
      <c r="H18" s="114">
        <v>726338.46</v>
      </c>
      <c r="I18" s="105">
        <f>H18*1.16</f>
        <v>842552.61359999992</v>
      </c>
      <c r="J18" s="66" t="s">
        <v>251</v>
      </c>
      <c r="K18" s="61">
        <v>0</v>
      </c>
      <c r="L18" s="106"/>
      <c r="M18" s="107"/>
    </row>
    <row r="19" spans="1:13" s="5" customFormat="1" ht="37.15" customHeight="1">
      <c r="A19" s="128"/>
      <c r="B19" s="80"/>
      <c r="C19" s="81"/>
      <c r="D19" s="59" t="s">
        <v>297</v>
      </c>
      <c r="E19" s="80"/>
      <c r="F19" s="82"/>
      <c r="G19" s="80"/>
      <c r="H19" s="114"/>
      <c r="I19" s="105"/>
      <c r="J19" s="66" t="s">
        <v>252</v>
      </c>
      <c r="K19" s="61">
        <f>H18*0.1</f>
        <v>72633.846000000005</v>
      </c>
      <c r="L19" s="81"/>
      <c r="M19" s="107"/>
    </row>
    <row r="20" spans="1:13" s="5" customFormat="1" ht="37.15" customHeight="1">
      <c r="A20" s="128"/>
      <c r="B20" s="80"/>
      <c r="C20" s="81"/>
      <c r="D20" s="59" t="s">
        <v>300</v>
      </c>
      <c r="E20" s="80"/>
      <c r="F20" s="82"/>
      <c r="G20" s="80"/>
      <c r="H20" s="114"/>
      <c r="I20" s="105"/>
      <c r="J20" s="66" t="s">
        <v>254</v>
      </c>
      <c r="K20" s="61"/>
      <c r="L20" s="81"/>
      <c r="M20" s="107"/>
    </row>
    <row r="21" spans="1:13" s="5" customFormat="1" ht="37.15" customHeight="1">
      <c r="A21" s="128" t="s">
        <v>253</v>
      </c>
      <c r="B21" s="82">
        <v>2023302070028</v>
      </c>
      <c r="C21" s="81" t="s">
        <v>298</v>
      </c>
      <c r="D21" s="59" t="s">
        <v>255</v>
      </c>
      <c r="E21" s="80" t="s">
        <v>300</v>
      </c>
      <c r="F21" s="82" t="s">
        <v>299</v>
      </c>
      <c r="G21" s="79">
        <v>45191</v>
      </c>
      <c r="H21" s="114">
        <v>672394.91</v>
      </c>
      <c r="I21" s="105">
        <f>H21*1.16</f>
        <v>779978.0956</v>
      </c>
      <c r="J21" s="66" t="s">
        <v>251</v>
      </c>
      <c r="K21" s="61">
        <v>0</v>
      </c>
      <c r="L21" s="106"/>
      <c r="M21" s="107"/>
    </row>
    <row r="22" spans="1:13" s="5" customFormat="1" ht="37.15" customHeight="1">
      <c r="A22" s="128"/>
      <c r="B22" s="80"/>
      <c r="C22" s="81"/>
      <c r="D22" s="59" t="s">
        <v>300</v>
      </c>
      <c r="E22" s="80"/>
      <c r="F22" s="82"/>
      <c r="G22" s="80"/>
      <c r="H22" s="114"/>
      <c r="I22" s="105"/>
      <c r="J22" s="66" t="s">
        <v>252</v>
      </c>
      <c r="K22" s="61">
        <f>H21*0.1</f>
        <v>67239.491000000009</v>
      </c>
      <c r="L22" s="81"/>
      <c r="M22" s="107"/>
    </row>
    <row r="23" spans="1:13" s="5" customFormat="1" ht="37.15" customHeight="1">
      <c r="A23" s="128"/>
      <c r="B23" s="80"/>
      <c r="C23" s="81"/>
      <c r="D23" s="59" t="s">
        <v>302</v>
      </c>
      <c r="E23" s="80"/>
      <c r="F23" s="82"/>
      <c r="G23" s="80"/>
      <c r="H23" s="114"/>
      <c r="I23" s="105"/>
      <c r="J23" s="66" t="s">
        <v>254</v>
      </c>
      <c r="K23" s="61"/>
      <c r="L23" s="81"/>
      <c r="M23" s="107"/>
    </row>
    <row r="24" spans="1:13" s="5" customFormat="1" ht="15.75" customHeight="1">
      <c r="A24" s="50"/>
      <c r="B24" s="51"/>
      <c r="C24" s="50"/>
      <c r="D24" s="52"/>
      <c r="E24" s="51"/>
      <c r="F24" s="53"/>
      <c r="G24" s="51"/>
      <c r="H24" s="54"/>
      <c r="I24" s="55"/>
      <c r="J24" s="56"/>
      <c r="K24" s="57"/>
      <c r="L24" s="50"/>
      <c r="M24" s="58"/>
    </row>
    <row r="25" spans="1:13" s="5" customFormat="1" ht="15.75" customHeight="1">
      <c r="A25" s="50"/>
      <c r="B25" s="51"/>
      <c r="C25" s="50"/>
      <c r="D25" s="52"/>
      <c r="E25" s="51"/>
      <c r="F25" s="53"/>
      <c r="G25" s="51"/>
      <c r="H25" s="54"/>
      <c r="I25" s="55"/>
      <c r="J25" s="56"/>
      <c r="K25" s="57"/>
      <c r="L25" s="50"/>
      <c r="M25" s="58"/>
    </row>
    <row r="26" spans="1:13" s="5" customFormat="1" ht="15.75" customHeight="1">
      <c r="A26" s="50"/>
      <c r="B26" s="51"/>
      <c r="C26" s="50"/>
      <c r="D26" s="52"/>
      <c r="E26" s="51"/>
      <c r="F26" s="53"/>
      <c r="G26" s="51"/>
      <c r="H26" s="54"/>
      <c r="I26" s="55"/>
      <c r="J26" s="56"/>
      <c r="K26" s="57"/>
      <c r="L26" s="50"/>
      <c r="M26" s="58"/>
    </row>
    <row r="27" spans="1:13" s="5" customFormat="1" ht="15.75" customHeight="1">
      <c r="A27" s="50"/>
      <c r="B27" s="51"/>
      <c r="C27" s="50"/>
      <c r="D27" s="52"/>
      <c r="E27" s="51"/>
      <c r="F27" s="53"/>
      <c r="G27" s="51"/>
      <c r="H27" s="54"/>
      <c r="I27" s="55"/>
      <c r="J27" s="56"/>
      <c r="K27" s="57"/>
      <c r="L27" s="50"/>
      <c r="M27" s="58"/>
    </row>
    <row r="28" spans="1:13" s="5" customFormat="1" ht="15.75" customHeight="1">
      <c r="A28" s="50"/>
      <c r="B28" s="51"/>
      <c r="C28" s="50"/>
      <c r="D28" s="52"/>
      <c r="E28" s="51"/>
      <c r="F28" s="53"/>
      <c r="G28" s="51"/>
      <c r="H28" s="54"/>
      <c r="I28" s="55"/>
      <c r="J28" s="56"/>
      <c r="K28" s="57"/>
      <c r="L28" s="50"/>
      <c r="M28" s="58"/>
    </row>
    <row r="29" spans="1:13" ht="15">
      <c r="K29"/>
    </row>
    <row r="30" spans="1:13" ht="15">
      <c r="K30"/>
    </row>
  </sheetData>
  <mergeCells count="64">
    <mergeCell ref="A21:A23"/>
    <mergeCell ref="B21:B23"/>
    <mergeCell ref="C21:C23"/>
    <mergeCell ref="E21:E23"/>
    <mergeCell ref="F21:F23"/>
    <mergeCell ref="G21:G23"/>
    <mergeCell ref="H15:H17"/>
    <mergeCell ref="I15:I17"/>
    <mergeCell ref="L15:L17"/>
    <mergeCell ref="M15:M17"/>
    <mergeCell ref="G18:G20"/>
    <mergeCell ref="H21:H23"/>
    <mergeCell ref="I21:I23"/>
    <mergeCell ref="L21:L23"/>
    <mergeCell ref="M21:M23"/>
    <mergeCell ref="H18:H20"/>
    <mergeCell ref="I18:I20"/>
    <mergeCell ref="L18:L20"/>
    <mergeCell ref="M18:M20"/>
    <mergeCell ref="G15:G17"/>
    <mergeCell ref="A18:A20"/>
    <mergeCell ref="B18:B20"/>
    <mergeCell ref="C18:C20"/>
    <mergeCell ref="E18:E20"/>
    <mergeCell ref="F18:F20"/>
    <mergeCell ref="A15:A17"/>
    <mergeCell ref="B15:B17"/>
    <mergeCell ref="C15:C17"/>
    <mergeCell ref="E15:E17"/>
    <mergeCell ref="F15:F17"/>
    <mergeCell ref="G12:G14"/>
    <mergeCell ref="H12:H14"/>
    <mergeCell ref="I12:I14"/>
    <mergeCell ref="L12:L14"/>
    <mergeCell ref="M12:M14"/>
    <mergeCell ref="A12:A14"/>
    <mergeCell ref="B12:B14"/>
    <mergeCell ref="C12:C14"/>
    <mergeCell ref="E12:E14"/>
    <mergeCell ref="F12:F14"/>
    <mergeCell ref="G9:G11"/>
    <mergeCell ref="H9:H11"/>
    <mergeCell ref="I9:I11"/>
    <mergeCell ref="L9:L11"/>
    <mergeCell ref="M9:M11"/>
    <mergeCell ref="A9:A11"/>
    <mergeCell ref="B9:B11"/>
    <mergeCell ref="C9:C11"/>
    <mergeCell ref="E9:E11"/>
    <mergeCell ref="F9:F11"/>
    <mergeCell ref="A1:M1"/>
    <mergeCell ref="A2:M2"/>
    <mergeCell ref="A3:M3"/>
    <mergeCell ref="J5:K5"/>
    <mergeCell ref="A6:A8"/>
    <mergeCell ref="B6:B8"/>
    <mergeCell ref="C6:C8"/>
    <mergeCell ref="E6:E8"/>
    <mergeCell ref="F6:F8"/>
    <mergeCell ref="G6:G8"/>
    <mergeCell ref="H6:H8"/>
    <mergeCell ref="I6:I8"/>
    <mergeCell ref="L6:L8"/>
    <mergeCell ref="M6:M8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M33"/>
  <sheetViews>
    <sheetView view="pageBreakPreview" topLeftCell="A14" zoomScale="113" zoomScaleNormal="90" zoomScaleSheetLayoutView="99" workbookViewId="0">
      <selection activeCell="D25" sqref="D25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1.2851562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303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125" t="s">
        <v>253</v>
      </c>
      <c r="B6" s="86">
        <v>2023302070020</v>
      </c>
      <c r="C6" s="108" t="s">
        <v>304</v>
      </c>
      <c r="D6" s="59" t="s">
        <v>286</v>
      </c>
      <c r="E6" s="83" t="s">
        <v>300</v>
      </c>
      <c r="F6" s="86" t="s">
        <v>305</v>
      </c>
      <c r="G6" s="116">
        <v>45202</v>
      </c>
      <c r="H6" s="119">
        <v>1057715.81</v>
      </c>
      <c r="I6" s="92">
        <f>H6*1.16</f>
        <v>1226950.3396000001</v>
      </c>
      <c r="J6" s="65" t="s">
        <v>251</v>
      </c>
      <c r="K6" s="61">
        <f>I6*0.3</f>
        <v>368085.10188000003</v>
      </c>
      <c r="L6" s="95"/>
      <c r="M6" s="98"/>
    </row>
    <row r="7" spans="1:13" s="5" customFormat="1" ht="29.45" customHeight="1">
      <c r="A7" s="126"/>
      <c r="B7" s="87"/>
      <c r="C7" s="109"/>
      <c r="D7" s="68" t="s">
        <v>300</v>
      </c>
      <c r="E7" s="84"/>
      <c r="F7" s="87"/>
      <c r="G7" s="117"/>
      <c r="H7" s="120"/>
      <c r="I7" s="93"/>
      <c r="J7" s="66" t="s">
        <v>252</v>
      </c>
      <c r="K7" s="61">
        <f>H6*0.1</f>
        <v>105771.58100000001</v>
      </c>
      <c r="L7" s="96"/>
      <c r="M7" s="99"/>
    </row>
    <row r="8" spans="1:13" s="5" customFormat="1" ht="34.15" customHeight="1">
      <c r="A8" s="127"/>
      <c r="B8" s="88"/>
      <c r="C8" s="110"/>
      <c r="D8" s="71" t="s">
        <v>358</v>
      </c>
      <c r="E8" s="85"/>
      <c r="F8" s="88"/>
      <c r="G8" s="118"/>
      <c r="H8" s="121"/>
      <c r="I8" s="94"/>
      <c r="J8" s="66" t="s">
        <v>254</v>
      </c>
      <c r="K8" s="61"/>
      <c r="L8" s="97"/>
      <c r="M8" s="100"/>
    </row>
    <row r="9" spans="1:13" s="5" customFormat="1" ht="29.45" customHeight="1">
      <c r="A9" s="125" t="s">
        <v>253</v>
      </c>
      <c r="B9" s="86">
        <v>2023302070021</v>
      </c>
      <c r="C9" s="108" t="s">
        <v>306</v>
      </c>
      <c r="D9" s="59" t="s">
        <v>301</v>
      </c>
      <c r="E9" s="83" t="s">
        <v>291</v>
      </c>
      <c r="F9" s="86" t="s">
        <v>307</v>
      </c>
      <c r="G9" s="116">
        <v>45205</v>
      </c>
      <c r="H9" s="122">
        <v>1292505.26</v>
      </c>
      <c r="I9" s="92">
        <f>H9*1.16</f>
        <v>1499306.1015999999</v>
      </c>
      <c r="J9" s="66" t="s">
        <v>251</v>
      </c>
      <c r="K9" s="67">
        <f>I9*0.3</f>
        <v>449791.83047999995</v>
      </c>
      <c r="L9" s="95"/>
      <c r="M9" s="98"/>
    </row>
    <row r="10" spans="1:13" s="5" customFormat="1" ht="30" customHeight="1">
      <c r="A10" s="126"/>
      <c r="B10" s="87"/>
      <c r="C10" s="109"/>
      <c r="D10" s="59" t="s">
        <v>291</v>
      </c>
      <c r="E10" s="84"/>
      <c r="F10" s="87"/>
      <c r="G10" s="117"/>
      <c r="H10" s="123"/>
      <c r="I10" s="93"/>
      <c r="J10" s="66" t="s">
        <v>252</v>
      </c>
      <c r="K10" s="61">
        <f>H9*0.1</f>
        <v>129250.52600000001</v>
      </c>
      <c r="L10" s="96"/>
      <c r="M10" s="99"/>
    </row>
    <row r="11" spans="1:13" s="5" customFormat="1" ht="44.45" customHeight="1">
      <c r="A11" s="127"/>
      <c r="B11" s="88"/>
      <c r="C11" s="110"/>
      <c r="D11" s="59" t="s">
        <v>255</v>
      </c>
      <c r="E11" s="85"/>
      <c r="F11" s="88"/>
      <c r="G11" s="118"/>
      <c r="H11" s="124"/>
      <c r="I11" s="94"/>
      <c r="J11" s="66" t="s">
        <v>254</v>
      </c>
      <c r="K11" s="61"/>
      <c r="L11" s="97"/>
      <c r="M11" s="100"/>
    </row>
    <row r="12" spans="1:13" s="5" customFormat="1" ht="31.9" customHeight="1">
      <c r="A12" s="128" t="s">
        <v>253</v>
      </c>
      <c r="B12" s="82">
        <v>2023302070015</v>
      </c>
      <c r="C12" s="81" t="s">
        <v>308</v>
      </c>
      <c r="D12" s="59" t="s">
        <v>265</v>
      </c>
      <c r="E12" s="80" t="s">
        <v>309</v>
      </c>
      <c r="F12" s="82" t="s">
        <v>310</v>
      </c>
      <c r="G12" s="79">
        <v>45208</v>
      </c>
      <c r="H12" s="114">
        <v>2288448</v>
      </c>
      <c r="I12" s="105">
        <f>H12*1.16</f>
        <v>2654599.6799999997</v>
      </c>
      <c r="J12" s="66" t="s">
        <v>251</v>
      </c>
      <c r="K12" s="61">
        <f>I12*0.3</f>
        <v>796379.90399999986</v>
      </c>
      <c r="L12" s="106"/>
      <c r="M12" s="107"/>
    </row>
    <row r="13" spans="1:13" s="5" customFormat="1" ht="31.9" customHeight="1">
      <c r="A13" s="128"/>
      <c r="B13" s="80"/>
      <c r="C13" s="81"/>
      <c r="D13" s="59" t="s">
        <v>309</v>
      </c>
      <c r="E13" s="80"/>
      <c r="F13" s="82"/>
      <c r="G13" s="80"/>
      <c r="H13" s="114"/>
      <c r="I13" s="105"/>
      <c r="J13" s="66" t="s">
        <v>252</v>
      </c>
      <c r="K13" s="61">
        <f>H12*0.1</f>
        <v>228844.80000000002</v>
      </c>
      <c r="L13" s="81"/>
      <c r="M13" s="107"/>
    </row>
    <row r="14" spans="1:13" s="5" customFormat="1" ht="31.9" customHeight="1">
      <c r="A14" s="128"/>
      <c r="B14" s="80"/>
      <c r="C14" s="81"/>
      <c r="D14" s="59" t="s">
        <v>294</v>
      </c>
      <c r="E14" s="80"/>
      <c r="F14" s="82"/>
      <c r="G14" s="80"/>
      <c r="H14" s="114"/>
      <c r="I14" s="105"/>
      <c r="J14" s="66" t="s">
        <v>254</v>
      </c>
      <c r="K14" s="61"/>
      <c r="L14" s="81"/>
      <c r="M14" s="107"/>
    </row>
    <row r="15" spans="1:13" s="5" customFormat="1" ht="37.15" customHeight="1">
      <c r="A15" s="128" t="s">
        <v>253</v>
      </c>
      <c r="B15" s="82">
        <v>2023302070118</v>
      </c>
      <c r="C15" s="81" t="s">
        <v>313</v>
      </c>
      <c r="D15" s="59" t="s">
        <v>265</v>
      </c>
      <c r="E15" s="80" t="s">
        <v>312</v>
      </c>
      <c r="F15" s="82" t="s">
        <v>311</v>
      </c>
      <c r="G15" s="79">
        <v>45215</v>
      </c>
      <c r="H15" s="114">
        <v>1463500</v>
      </c>
      <c r="I15" s="105">
        <f>H15*1.16</f>
        <v>1697659.9999999998</v>
      </c>
      <c r="J15" s="66" t="s">
        <v>251</v>
      </c>
      <c r="K15" s="61">
        <v>0</v>
      </c>
      <c r="L15" s="106"/>
      <c r="M15" s="107"/>
    </row>
    <row r="16" spans="1:13" s="5" customFormat="1" ht="37.15" customHeight="1">
      <c r="A16" s="128"/>
      <c r="B16" s="80"/>
      <c r="C16" s="81"/>
      <c r="D16" s="59" t="s">
        <v>312</v>
      </c>
      <c r="E16" s="80"/>
      <c r="F16" s="82"/>
      <c r="G16" s="80"/>
      <c r="H16" s="114"/>
      <c r="I16" s="105"/>
      <c r="J16" s="66" t="s">
        <v>252</v>
      </c>
      <c r="K16" s="61">
        <f>H15*0.1</f>
        <v>146350</v>
      </c>
      <c r="L16" s="81"/>
      <c r="M16" s="107"/>
    </row>
    <row r="17" spans="1:13" s="5" customFormat="1" ht="37.15" customHeight="1">
      <c r="A17" s="128"/>
      <c r="B17" s="80"/>
      <c r="C17" s="81"/>
      <c r="D17" s="59" t="s">
        <v>291</v>
      </c>
      <c r="E17" s="80"/>
      <c r="F17" s="82"/>
      <c r="G17" s="80"/>
      <c r="H17" s="114"/>
      <c r="I17" s="105"/>
      <c r="J17" s="66" t="s">
        <v>254</v>
      </c>
      <c r="K17" s="61"/>
      <c r="L17" s="81"/>
      <c r="M17" s="107"/>
    </row>
    <row r="18" spans="1:13" s="5" customFormat="1" ht="37.15" customHeight="1">
      <c r="A18" s="128" t="s">
        <v>253</v>
      </c>
      <c r="B18" s="82">
        <v>2023302070019</v>
      </c>
      <c r="C18" s="81" t="s">
        <v>315</v>
      </c>
      <c r="D18" s="59" t="s">
        <v>270</v>
      </c>
      <c r="E18" s="80" t="s">
        <v>277</v>
      </c>
      <c r="F18" s="82" t="s">
        <v>314</v>
      </c>
      <c r="G18" s="79">
        <v>45219</v>
      </c>
      <c r="H18" s="114">
        <v>1293092.44</v>
      </c>
      <c r="I18" s="105">
        <f>H18*1.16</f>
        <v>1499987.2303999998</v>
      </c>
      <c r="J18" s="66" t="s">
        <v>251</v>
      </c>
      <c r="K18" s="61">
        <f>I18*0.3</f>
        <v>449996.16911999992</v>
      </c>
      <c r="L18" s="106"/>
      <c r="M18" s="107"/>
    </row>
    <row r="19" spans="1:13" s="5" customFormat="1" ht="37.15" customHeight="1">
      <c r="A19" s="128"/>
      <c r="B19" s="80"/>
      <c r="C19" s="81"/>
      <c r="D19" s="59" t="s">
        <v>277</v>
      </c>
      <c r="E19" s="80"/>
      <c r="F19" s="82"/>
      <c r="G19" s="80"/>
      <c r="H19" s="114"/>
      <c r="I19" s="105"/>
      <c r="J19" s="66" t="s">
        <v>252</v>
      </c>
      <c r="K19" s="61">
        <f>H18*0.1</f>
        <v>129309.24400000001</v>
      </c>
      <c r="L19" s="81"/>
      <c r="M19" s="107"/>
    </row>
    <row r="20" spans="1:13" s="5" customFormat="1" ht="37.15" customHeight="1">
      <c r="A20" s="128"/>
      <c r="B20" s="80"/>
      <c r="C20" s="81"/>
      <c r="D20" s="59" t="s">
        <v>291</v>
      </c>
      <c r="E20" s="80"/>
      <c r="F20" s="82"/>
      <c r="G20" s="80"/>
      <c r="H20" s="114"/>
      <c r="I20" s="105"/>
      <c r="J20" s="66" t="s">
        <v>254</v>
      </c>
      <c r="K20" s="61"/>
      <c r="L20" s="81"/>
      <c r="M20" s="107"/>
    </row>
    <row r="21" spans="1:13" s="5" customFormat="1" ht="37.15" customHeight="1">
      <c r="A21" s="125" t="s">
        <v>284</v>
      </c>
      <c r="B21" s="82">
        <v>2023302070039</v>
      </c>
      <c r="C21" s="81" t="s">
        <v>317</v>
      </c>
      <c r="D21" s="69"/>
      <c r="E21" s="80" t="s">
        <v>255</v>
      </c>
      <c r="F21" s="82" t="s">
        <v>316</v>
      </c>
      <c r="G21" s="79">
        <v>45222</v>
      </c>
      <c r="H21" s="114">
        <v>488310.97</v>
      </c>
      <c r="I21" s="105">
        <f>H21*1.16</f>
        <v>566440.72519999999</v>
      </c>
      <c r="J21" s="66" t="s">
        <v>251</v>
      </c>
      <c r="K21" s="61">
        <f>I21*0.3</f>
        <v>169932.21755999999</v>
      </c>
      <c r="L21" s="106"/>
      <c r="M21" s="107"/>
    </row>
    <row r="22" spans="1:13" s="5" customFormat="1" ht="37.15" customHeight="1">
      <c r="A22" s="126"/>
      <c r="B22" s="80"/>
      <c r="C22" s="81"/>
      <c r="D22" s="59" t="s">
        <v>255</v>
      </c>
      <c r="E22" s="80"/>
      <c r="F22" s="82"/>
      <c r="G22" s="80"/>
      <c r="H22" s="114"/>
      <c r="I22" s="105"/>
      <c r="J22" s="66" t="s">
        <v>252</v>
      </c>
      <c r="K22" s="61">
        <f>H21*0.1</f>
        <v>48831.097000000002</v>
      </c>
      <c r="L22" s="81"/>
      <c r="M22" s="107"/>
    </row>
    <row r="23" spans="1:13" s="5" customFormat="1" ht="37.15" customHeight="1">
      <c r="A23" s="127"/>
      <c r="B23" s="80"/>
      <c r="C23" s="81"/>
      <c r="D23" s="69"/>
      <c r="E23" s="80"/>
      <c r="F23" s="82"/>
      <c r="G23" s="80"/>
      <c r="H23" s="114"/>
      <c r="I23" s="105"/>
      <c r="J23" s="66" t="s">
        <v>254</v>
      </c>
      <c r="K23" s="61"/>
      <c r="L23" s="81"/>
      <c r="M23" s="107"/>
    </row>
    <row r="24" spans="1:13" s="5" customFormat="1" ht="37.9" customHeight="1">
      <c r="A24" s="125" t="s">
        <v>284</v>
      </c>
      <c r="B24" s="82">
        <v>2023302070036</v>
      </c>
      <c r="C24" s="81" t="s">
        <v>319</v>
      </c>
      <c r="D24" s="69"/>
      <c r="E24" s="80" t="str">
        <f>D25</f>
        <v>JOSE MORENO CASTILLO</v>
      </c>
      <c r="F24" s="82" t="s">
        <v>318</v>
      </c>
      <c r="G24" s="79">
        <v>45229</v>
      </c>
      <c r="H24" s="114">
        <v>503304.69</v>
      </c>
      <c r="I24" s="105">
        <f>H24*1.16</f>
        <v>583833.44039999996</v>
      </c>
      <c r="J24" s="66" t="s">
        <v>251</v>
      </c>
      <c r="K24" s="61">
        <f>I24*0.3</f>
        <v>175150.03211999999</v>
      </c>
      <c r="L24" s="106"/>
      <c r="M24" s="107"/>
    </row>
    <row r="25" spans="1:13" s="5" customFormat="1" ht="37.9" customHeight="1">
      <c r="A25" s="126"/>
      <c r="B25" s="80"/>
      <c r="C25" s="81"/>
      <c r="D25" s="59" t="s">
        <v>302</v>
      </c>
      <c r="E25" s="80"/>
      <c r="F25" s="82"/>
      <c r="G25" s="80"/>
      <c r="H25" s="114"/>
      <c r="I25" s="105"/>
      <c r="J25" s="66" t="s">
        <v>252</v>
      </c>
      <c r="K25" s="61">
        <f>H24*0.1</f>
        <v>50330.469000000005</v>
      </c>
      <c r="L25" s="81"/>
      <c r="M25" s="107"/>
    </row>
    <row r="26" spans="1:13" s="5" customFormat="1" ht="37.9" customHeight="1">
      <c r="A26" s="127"/>
      <c r="B26" s="80"/>
      <c r="C26" s="81"/>
      <c r="D26" s="69"/>
      <c r="E26" s="80"/>
      <c r="F26" s="82"/>
      <c r="G26" s="80"/>
      <c r="H26" s="114"/>
      <c r="I26" s="105"/>
      <c r="J26" s="66" t="s">
        <v>254</v>
      </c>
      <c r="K26" s="61"/>
      <c r="L26" s="81"/>
      <c r="M26" s="107"/>
    </row>
    <row r="27" spans="1:13" s="5" customFormat="1" ht="15.75" customHeight="1">
      <c r="A27" s="50"/>
      <c r="B27" s="51"/>
      <c r="C27" s="50"/>
      <c r="D27" s="52"/>
      <c r="E27" s="51"/>
      <c r="F27" s="53"/>
      <c r="G27" s="51"/>
      <c r="H27" s="54"/>
      <c r="I27" s="55"/>
      <c r="J27" s="56"/>
      <c r="K27" s="57"/>
      <c r="L27" s="50"/>
      <c r="M27" s="58"/>
    </row>
    <row r="28" spans="1:13" s="5" customFormat="1" ht="15.75" customHeight="1">
      <c r="A28" s="50"/>
      <c r="B28" s="51"/>
      <c r="C28" s="50"/>
      <c r="D28" s="52"/>
      <c r="E28" s="51"/>
      <c r="F28" s="53"/>
      <c r="G28" s="51"/>
      <c r="H28" s="54"/>
      <c r="I28" s="55"/>
      <c r="J28" s="56"/>
      <c r="K28" s="57"/>
      <c r="L28" s="50"/>
      <c r="M28" s="58"/>
    </row>
    <row r="29" spans="1:13" s="5" customFormat="1" ht="15.75" customHeight="1">
      <c r="A29" s="50"/>
      <c r="B29" s="51"/>
      <c r="C29" s="50"/>
      <c r="D29" s="52"/>
      <c r="E29" s="51"/>
      <c r="F29" s="53"/>
      <c r="G29" s="51"/>
      <c r="H29" s="54"/>
      <c r="I29" s="55"/>
      <c r="J29" s="56"/>
      <c r="K29" s="57"/>
      <c r="L29" s="50"/>
      <c r="M29" s="58"/>
    </row>
    <row r="30" spans="1:13" s="5" customFormat="1" ht="15.75" customHeight="1">
      <c r="A30" s="50"/>
      <c r="B30" s="51"/>
      <c r="C30" s="50"/>
      <c r="D30" s="52"/>
      <c r="E30" s="51"/>
      <c r="F30" s="53"/>
      <c r="G30" s="51"/>
      <c r="H30" s="54"/>
      <c r="I30" s="55"/>
      <c r="J30" s="56"/>
      <c r="K30" s="57"/>
      <c r="L30" s="50"/>
      <c r="M30" s="58"/>
    </row>
    <row r="31" spans="1:13" s="5" customFormat="1" ht="15.75" customHeight="1">
      <c r="A31" s="50"/>
      <c r="B31" s="51"/>
      <c r="C31" s="50"/>
      <c r="D31" s="52"/>
      <c r="E31" s="51"/>
      <c r="F31" s="53"/>
      <c r="G31" s="51"/>
      <c r="H31" s="54"/>
      <c r="I31" s="55"/>
      <c r="J31" s="56"/>
      <c r="K31" s="57"/>
      <c r="L31" s="50"/>
      <c r="M31" s="58"/>
    </row>
    <row r="32" spans="1:13" ht="15">
      <c r="K32"/>
    </row>
    <row r="33" spans="11:11" ht="15">
      <c r="K33"/>
    </row>
  </sheetData>
  <mergeCells count="74">
    <mergeCell ref="A24:A26"/>
    <mergeCell ref="B24:B26"/>
    <mergeCell ref="C24:C26"/>
    <mergeCell ref="E24:E26"/>
    <mergeCell ref="F24:F26"/>
    <mergeCell ref="G24:G26"/>
    <mergeCell ref="H18:H20"/>
    <mergeCell ref="I18:I20"/>
    <mergeCell ref="L18:L20"/>
    <mergeCell ref="M18:M20"/>
    <mergeCell ref="G21:G23"/>
    <mergeCell ref="H24:H26"/>
    <mergeCell ref="I24:I26"/>
    <mergeCell ref="L24:L26"/>
    <mergeCell ref="M24:M26"/>
    <mergeCell ref="H21:H23"/>
    <mergeCell ref="I21:I23"/>
    <mergeCell ref="L21:L23"/>
    <mergeCell ref="M21:M23"/>
    <mergeCell ref="G18:G20"/>
    <mergeCell ref="A21:A23"/>
    <mergeCell ref="B21:B23"/>
    <mergeCell ref="C21:C23"/>
    <mergeCell ref="E21:E23"/>
    <mergeCell ref="F21:F23"/>
    <mergeCell ref="A18:A20"/>
    <mergeCell ref="B18:B20"/>
    <mergeCell ref="C18:C20"/>
    <mergeCell ref="E18:E20"/>
    <mergeCell ref="F18:F20"/>
    <mergeCell ref="G15:G17"/>
    <mergeCell ref="H15:H17"/>
    <mergeCell ref="I15:I17"/>
    <mergeCell ref="L15:L17"/>
    <mergeCell ref="M15:M17"/>
    <mergeCell ref="A15:A17"/>
    <mergeCell ref="B15:B17"/>
    <mergeCell ref="C15:C17"/>
    <mergeCell ref="E15:E17"/>
    <mergeCell ref="F15:F17"/>
    <mergeCell ref="G12:G14"/>
    <mergeCell ref="H12:H14"/>
    <mergeCell ref="I12:I14"/>
    <mergeCell ref="L12:L14"/>
    <mergeCell ref="M12:M14"/>
    <mergeCell ref="A12:A14"/>
    <mergeCell ref="B12:B14"/>
    <mergeCell ref="C12:C14"/>
    <mergeCell ref="E12:E14"/>
    <mergeCell ref="F12:F14"/>
    <mergeCell ref="G9:G11"/>
    <mergeCell ref="H9:H11"/>
    <mergeCell ref="I9:I11"/>
    <mergeCell ref="L9:L11"/>
    <mergeCell ref="M9:M11"/>
    <mergeCell ref="A9:A11"/>
    <mergeCell ref="B9:B11"/>
    <mergeCell ref="C9:C11"/>
    <mergeCell ref="E9:E11"/>
    <mergeCell ref="F9:F11"/>
    <mergeCell ref="A1:M1"/>
    <mergeCell ref="A2:M2"/>
    <mergeCell ref="A3:M3"/>
    <mergeCell ref="J5:K5"/>
    <mergeCell ref="A6:A8"/>
    <mergeCell ref="B6:B8"/>
    <mergeCell ref="C6:C8"/>
    <mergeCell ref="E6:E8"/>
    <mergeCell ref="F6:F8"/>
    <mergeCell ref="G6:G8"/>
    <mergeCell ref="H6:H8"/>
    <mergeCell ref="I6:I8"/>
    <mergeCell ref="L6:L8"/>
    <mergeCell ref="M6:M8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M43"/>
  <sheetViews>
    <sheetView view="pageBreakPreview" topLeftCell="B27" zoomScale="113" zoomScaleNormal="90" zoomScaleSheetLayoutView="99" workbookViewId="0">
      <selection activeCell="D32" sqref="D32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1.2851562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320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125" t="s">
        <v>253</v>
      </c>
      <c r="B6" s="86">
        <v>2023302070016</v>
      </c>
      <c r="C6" s="108" t="s">
        <v>321</v>
      </c>
      <c r="D6" s="59" t="s">
        <v>309</v>
      </c>
      <c r="E6" s="83" t="s">
        <v>322</v>
      </c>
      <c r="F6" s="86" t="s">
        <v>346</v>
      </c>
      <c r="G6" s="116">
        <v>45231</v>
      </c>
      <c r="H6" s="119">
        <v>881500</v>
      </c>
      <c r="I6" s="92">
        <f>H6*1.16</f>
        <v>1022539.9999999999</v>
      </c>
      <c r="J6" s="65" t="s">
        <v>251</v>
      </c>
      <c r="K6" s="61">
        <f>I6*0.3</f>
        <v>306761.99999999994</v>
      </c>
      <c r="L6" s="95"/>
      <c r="M6" s="98"/>
    </row>
    <row r="7" spans="1:13" s="5" customFormat="1" ht="29.45" customHeight="1">
      <c r="A7" s="126"/>
      <c r="B7" s="87"/>
      <c r="C7" s="109"/>
      <c r="D7" s="51" t="s">
        <v>323</v>
      </c>
      <c r="E7" s="84"/>
      <c r="F7" s="87"/>
      <c r="G7" s="117"/>
      <c r="H7" s="120"/>
      <c r="I7" s="93"/>
      <c r="J7" s="66" t="s">
        <v>252</v>
      </c>
      <c r="K7" s="61">
        <f>H6*0.1</f>
        <v>88150</v>
      </c>
      <c r="L7" s="96"/>
      <c r="M7" s="99"/>
    </row>
    <row r="8" spans="1:13" s="5" customFormat="1" ht="34.15" customHeight="1">
      <c r="A8" s="127"/>
      <c r="B8" s="88"/>
      <c r="C8" s="110"/>
      <c r="D8" s="59" t="s">
        <v>322</v>
      </c>
      <c r="E8" s="85"/>
      <c r="F8" s="88"/>
      <c r="G8" s="118"/>
      <c r="H8" s="121"/>
      <c r="I8" s="94"/>
      <c r="J8" s="66" t="s">
        <v>254</v>
      </c>
      <c r="K8" s="61"/>
      <c r="L8" s="97"/>
      <c r="M8" s="100"/>
    </row>
    <row r="9" spans="1:13" s="5" customFormat="1" ht="34.15" customHeight="1">
      <c r="A9" s="125" t="s">
        <v>284</v>
      </c>
      <c r="B9" s="86">
        <v>2023302070018</v>
      </c>
      <c r="C9" s="108" t="s">
        <v>324</v>
      </c>
      <c r="D9" s="70"/>
      <c r="E9" s="83" t="s">
        <v>277</v>
      </c>
      <c r="F9" s="86" t="s">
        <v>325</v>
      </c>
      <c r="G9" s="116">
        <v>45231</v>
      </c>
      <c r="H9" s="122">
        <v>559520.54</v>
      </c>
      <c r="I9" s="92">
        <f>H9*1.16</f>
        <v>649043.82640000002</v>
      </c>
      <c r="J9" s="66" t="s">
        <v>251</v>
      </c>
      <c r="K9" s="67">
        <v>0</v>
      </c>
      <c r="L9" s="95"/>
      <c r="M9" s="98"/>
    </row>
    <row r="10" spans="1:13" s="5" customFormat="1" ht="34.15" customHeight="1">
      <c r="A10" s="126"/>
      <c r="B10" s="87"/>
      <c r="C10" s="109"/>
      <c r="D10" s="59" t="s">
        <v>277</v>
      </c>
      <c r="E10" s="84"/>
      <c r="F10" s="87"/>
      <c r="G10" s="117"/>
      <c r="H10" s="123"/>
      <c r="I10" s="93"/>
      <c r="J10" s="66" t="s">
        <v>252</v>
      </c>
      <c r="K10" s="61">
        <f>H9*0.1</f>
        <v>55952.054000000004</v>
      </c>
      <c r="L10" s="96"/>
      <c r="M10" s="99"/>
    </row>
    <row r="11" spans="1:13" s="5" customFormat="1" ht="34.15" customHeight="1">
      <c r="A11" s="127"/>
      <c r="B11" s="88"/>
      <c r="C11" s="110"/>
      <c r="D11" s="70"/>
      <c r="E11" s="85"/>
      <c r="F11" s="88"/>
      <c r="G11" s="118"/>
      <c r="H11" s="124"/>
      <c r="I11" s="94"/>
      <c r="J11" s="66" t="s">
        <v>254</v>
      </c>
      <c r="K11" s="61"/>
      <c r="L11" s="97"/>
      <c r="M11" s="100"/>
    </row>
    <row r="12" spans="1:13" s="5" customFormat="1" ht="31.9" customHeight="1">
      <c r="A12" s="128" t="s">
        <v>253</v>
      </c>
      <c r="B12" s="86">
        <v>2023302070043</v>
      </c>
      <c r="C12" s="81" t="s">
        <v>326</v>
      </c>
      <c r="D12" s="59" t="s">
        <v>255</v>
      </c>
      <c r="E12" s="80" t="s">
        <v>323</v>
      </c>
      <c r="F12" s="82" t="s">
        <v>327</v>
      </c>
      <c r="G12" s="79">
        <v>45237</v>
      </c>
      <c r="H12" s="115">
        <v>1205005</v>
      </c>
      <c r="I12" s="105">
        <f>H12*1.16</f>
        <v>1397805.7999999998</v>
      </c>
      <c r="J12" s="66" t="s">
        <v>251</v>
      </c>
      <c r="K12" s="61">
        <v>0</v>
      </c>
      <c r="L12" s="106"/>
      <c r="M12" s="107"/>
    </row>
    <row r="13" spans="1:13" s="5" customFormat="1" ht="31.9" customHeight="1">
      <c r="A13" s="128"/>
      <c r="B13" s="87"/>
      <c r="C13" s="81"/>
      <c r="D13" s="51" t="s">
        <v>323</v>
      </c>
      <c r="E13" s="80"/>
      <c r="F13" s="82"/>
      <c r="G13" s="80"/>
      <c r="H13" s="114"/>
      <c r="I13" s="105"/>
      <c r="J13" s="66" t="s">
        <v>252</v>
      </c>
      <c r="K13" s="61">
        <f>H12*0.1</f>
        <v>120500.5</v>
      </c>
      <c r="L13" s="81"/>
      <c r="M13" s="107"/>
    </row>
    <row r="14" spans="1:13" s="5" customFormat="1" ht="31.9" customHeight="1">
      <c r="A14" s="128"/>
      <c r="B14" s="88"/>
      <c r="C14" s="81"/>
      <c r="D14" s="59" t="s">
        <v>258</v>
      </c>
      <c r="E14" s="80"/>
      <c r="F14" s="82"/>
      <c r="G14" s="80"/>
      <c r="H14" s="114"/>
      <c r="I14" s="105"/>
      <c r="J14" s="66" t="s">
        <v>254</v>
      </c>
      <c r="K14" s="61"/>
      <c r="L14" s="81"/>
      <c r="M14" s="107"/>
    </row>
    <row r="15" spans="1:13" s="5" customFormat="1" ht="37.15" customHeight="1">
      <c r="A15" s="128" t="s">
        <v>253</v>
      </c>
      <c r="B15" s="86">
        <v>2023302070022</v>
      </c>
      <c r="C15" s="81" t="s">
        <v>328</v>
      </c>
      <c r="D15" s="59" t="s">
        <v>294</v>
      </c>
      <c r="E15" s="80" t="s">
        <v>309</v>
      </c>
      <c r="F15" s="82" t="s">
        <v>329</v>
      </c>
      <c r="G15" s="79">
        <v>45243</v>
      </c>
      <c r="H15" s="114">
        <v>1593500</v>
      </c>
      <c r="I15" s="105">
        <f>H15*1.16</f>
        <v>1848459.9999999998</v>
      </c>
      <c r="J15" s="66" t="s">
        <v>251</v>
      </c>
      <c r="K15" s="61">
        <f>I15*0.3</f>
        <v>554537.99999999988</v>
      </c>
      <c r="L15" s="106"/>
      <c r="M15" s="107"/>
    </row>
    <row r="16" spans="1:13" s="5" customFormat="1" ht="37.15" customHeight="1">
      <c r="A16" s="128"/>
      <c r="B16" s="87"/>
      <c r="C16" s="81"/>
      <c r="D16" s="59" t="s">
        <v>309</v>
      </c>
      <c r="E16" s="80"/>
      <c r="F16" s="82"/>
      <c r="G16" s="80"/>
      <c r="H16" s="114"/>
      <c r="I16" s="105"/>
      <c r="J16" s="66" t="s">
        <v>252</v>
      </c>
      <c r="K16" s="61">
        <f>H15*0.1</f>
        <v>159350</v>
      </c>
      <c r="L16" s="81"/>
      <c r="M16" s="107"/>
    </row>
    <row r="17" spans="1:13" s="5" customFormat="1" ht="37.15" customHeight="1">
      <c r="A17" s="128"/>
      <c r="B17" s="88"/>
      <c r="C17" s="81"/>
      <c r="D17" s="59" t="s">
        <v>322</v>
      </c>
      <c r="E17" s="80"/>
      <c r="F17" s="82"/>
      <c r="G17" s="80"/>
      <c r="H17" s="114"/>
      <c r="I17" s="105"/>
      <c r="J17" s="66" t="s">
        <v>254</v>
      </c>
      <c r="K17" s="61"/>
      <c r="L17" s="81"/>
      <c r="M17" s="107"/>
    </row>
    <row r="18" spans="1:13" s="5" customFormat="1" ht="37.15" customHeight="1">
      <c r="A18" s="128" t="s">
        <v>253</v>
      </c>
      <c r="B18" s="86">
        <v>2023302070026</v>
      </c>
      <c r="C18" s="81" t="s">
        <v>330</v>
      </c>
      <c r="D18" s="59" t="s">
        <v>265</v>
      </c>
      <c r="E18" s="80" t="s">
        <v>294</v>
      </c>
      <c r="F18" s="82" t="s">
        <v>331</v>
      </c>
      <c r="G18" s="79">
        <v>45244</v>
      </c>
      <c r="H18" s="114">
        <v>774500</v>
      </c>
      <c r="I18" s="105">
        <f>H18*1.16</f>
        <v>898419.99999999988</v>
      </c>
      <c r="J18" s="66" t="s">
        <v>251</v>
      </c>
      <c r="K18" s="61">
        <f>I18*0.3</f>
        <v>269525.99999999994</v>
      </c>
      <c r="L18" s="106"/>
      <c r="M18" s="107"/>
    </row>
    <row r="19" spans="1:13" s="5" customFormat="1" ht="37.15" customHeight="1">
      <c r="A19" s="128"/>
      <c r="B19" s="87"/>
      <c r="C19" s="81"/>
      <c r="D19" s="59" t="s">
        <v>312</v>
      </c>
      <c r="E19" s="80"/>
      <c r="F19" s="82"/>
      <c r="G19" s="80"/>
      <c r="H19" s="114"/>
      <c r="I19" s="105"/>
      <c r="J19" s="66" t="s">
        <v>252</v>
      </c>
      <c r="K19" s="61">
        <f>H18*0.1</f>
        <v>77450</v>
      </c>
      <c r="L19" s="81"/>
      <c r="M19" s="107"/>
    </row>
    <row r="20" spans="1:13" s="5" customFormat="1" ht="37.15" customHeight="1">
      <c r="A20" s="128"/>
      <c r="B20" s="88"/>
      <c r="C20" s="81"/>
      <c r="D20" s="59" t="s">
        <v>294</v>
      </c>
      <c r="E20" s="80"/>
      <c r="F20" s="82"/>
      <c r="G20" s="80"/>
      <c r="H20" s="114"/>
      <c r="I20" s="105"/>
      <c r="J20" s="66" t="s">
        <v>254</v>
      </c>
      <c r="K20" s="61"/>
      <c r="L20" s="81"/>
      <c r="M20" s="107"/>
    </row>
    <row r="21" spans="1:13" s="5" customFormat="1" ht="37.15" customHeight="1">
      <c r="A21" s="128" t="s">
        <v>253</v>
      </c>
      <c r="B21" s="86">
        <v>2023302070004</v>
      </c>
      <c r="C21" s="81" t="s">
        <v>332</v>
      </c>
      <c r="D21" s="59" t="s">
        <v>323</v>
      </c>
      <c r="E21" s="80" t="s">
        <v>265</v>
      </c>
      <c r="F21" s="82" t="s">
        <v>337</v>
      </c>
      <c r="G21" s="79">
        <v>45245</v>
      </c>
      <c r="H21" s="114">
        <v>1153000</v>
      </c>
      <c r="I21" s="105">
        <f>H21*1.16</f>
        <v>1337480</v>
      </c>
      <c r="J21" s="66" t="s">
        <v>251</v>
      </c>
      <c r="K21" s="61">
        <f>I21*0.3</f>
        <v>401244</v>
      </c>
      <c r="L21" s="106"/>
      <c r="M21" s="107"/>
    </row>
    <row r="22" spans="1:13" s="5" customFormat="1" ht="37.15" customHeight="1">
      <c r="A22" s="128"/>
      <c r="B22" s="87"/>
      <c r="C22" s="81"/>
      <c r="D22" s="59" t="s">
        <v>265</v>
      </c>
      <c r="E22" s="80"/>
      <c r="F22" s="82"/>
      <c r="G22" s="80"/>
      <c r="H22" s="114"/>
      <c r="I22" s="105"/>
      <c r="J22" s="66" t="s">
        <v>252</v>
      </c>
      <c r="K22" s="61">
        <f>H21*0.1</f>
        <v>115300</v>
      </c>
      <c r="L22" s="81"/>
      <c r="M22" s="107"/>
    </row>
    <row r="23" spans="1:13" s="5" customFormat="1" ht="37.15" customHeight="1">
      <c r="A23" s="128"/>
      <c r="B23" s="88"/>
      <c r="C23" s="81"/>
      <c r="D23" s="59" t="s">
        <v>357</v>
      </c>
      <c r="E23" s="80"/>
      <c r="F23" s="82"/>
      <c r="G23" s="80"/>
      <c r="H23" s="114"/>
      <c r="I23" s="105"/>
      <c r="J23" s="66" t="s">
        <v>254</v>
      </c>
      <c r="K23" s="61"/>
      <c r="L23" s="81"/>
      <c r="M23" s="107"/>
    </row>
    <row r="24" spans="1:13" s="5" customFormat="1" ht="37.15" customHeight="1">
      <c r="A24" s="125" t="s">
        <v>284</v>
      </c>
      <c r="B24" s="86">
        <v>2023302070033</v>
      </c>
      <c r="C24" s="108" t="s">
        <v>333</v>
      </c>
      <c r="D24" s="70"/>
      <c r="E24" s="83" t="s">
        <v>301</v>
      </c>
      <c r="F24" s="86" t="s">
        <v>334</v>
      </c>
      <c r="G24" s="79">
        <v>45245</v>
      </c>
      <c r="H24" s="114">
        <v>503304.69</v>
      </c>
      <c r="I24" s="105">
        <f>H24*1.16</f>
        <v>583833.44039999996</v>
      </c>
      <c r="J24" s="66" t="s">
        <v>251</v>
      </c>
      <c r="K24" s="61">
        <v>0</v>
      </c>
      <c r="L24" s="106"/>
      <c r="M24" s="107"/>
    </row>
    <row r="25" spans="1:13" s="5" customFormat="1" ht="37.15" customHeight="1">
      <c r="A25" s="126"/>
      <c r="B25" s="87"/>
      <c r="C25" s="109"/>
      <c r="D25" s="59" t="s">
        <v>301</v>
      </c>
      <c r="E25" s="84"/>
      <c r="F25" s="87"/>
      <c r="G25" s="80"/>
      <c r="H25" s="114"/>
      <c r="I25" s="105"/>
      <c r="J25" s="66" t="s">
        <v>252</v>
      </c>
      <c r="K25" s="61">
        <f>H24*0.1</f>
        <v>50330.469000000005</v>
      </c>
      <c r="L25" s="81"/>
      <c r="M25" s="107"/>
    </row>
    <row r="26" spans="1:13" s="5" customFormat="1" ht="37.15" customHeight="1">
      <c r="A26" s="127"/>
      <c r="B26" s="88"/>
      <c r="C26" s="110"/>
      <c r="D26" s="70"/>
      <c r="E26" s="85"/>
      <c r="F26" s="88"/>
      <c r="G26" s="80"/>
      <c r="H26" s="114"/>
      <c r="I26" s="105"/>
      <c r="J26" s="66" t="s">
        <v>254</v>
      </c>
      <c r="K26" s="61"/>
      <c r="L26" s="81"/>
      <c r="M26" s="107"/>
    </row>
    <row r="27" spans="1:13" s="5" customFormat="1" ht="37.15" customHeight="1">
      <c r="A27" s="128" t="s">
        <v>253</v>
      </c>
      <c r="B27" s="82">
        <v>2023302070008</v>
      </c>
      <c r="C27" s="81" t="s">
        <v>335</v>
      </c>
      <c r="D27" s="59" t="s">
        <v>309</v>
      </c>
      <c r="E27" s="80" t="str">
        <f>D28</f>
        <v>JUAN REYES VALLECILLO</v>
      </c>
      <c r="F27" s="82" t="s">
        <v>338</v>
      </c>
      <c r="G27" s="79">
        <v>45246</v>
      </c>
      <c r="H27" s="114">
        <v>4670000</v>
      </c>
      <c r="I27" s="105">
        <f>H27*1.16</f>
        <v>5417200</v>
      </c>
      <c r="J27" s="66" t="s">
        <v>251</v>
      </c>
      <c r="K27" s="61">
        <f>I27*0.3</f>
        <v>1625160</v>
      </c>
      <c r="L27" s="106"/>
      <c r="M27" s="107"/>
    </row>
    <row r="28" spans="1:13" s="5" customFormat="1" ht="37.15" customHeight="1">
      <c r="A28" s="128"/>
      <c r="B28" s="80"/>
      <c r="C28" s="81"/>
      <c r="D28" s="59" t="s">
        <v>336</v>
      </c>
      <c r="E28" s="80"/>
      <c r="F28" s="82"/>
      <c r="G28" s="80"/>
      <c r="H28" s="114"/>
      <c r="I28" s="105"/>
      <c r="J28" s="66" t="s">
        <v>252</v>
      </c>
      <c r="K28" s="61">
        <f>H27*0.1</f>
        <v>467000</v>
      </c>
      <c r="L28" s="81"/>
      <c r="M28" s="107"/>
    </row>
    <row r="29" spans="1:13" s="5" customFormat="1" ht="37.15" customHeight="1">
      <c r="A29" s="128"/>
      <c r="B29" s="80"/>
      <c r="C29" s="81"/>
      <c r="D29" s="59" t="s">
        <v>265</v>
      </c>
      <c r="E29" s="80"/>
      <c r="F29" s="82"/>
      <c r="G29" s="80"/>
      <c r="H29" s="114"/>
      <c r="I29" s="105"/>
      <c r="J29" s="66" t="s">
        <v>254</v>
      </c>
      <c r="K29" s="61"/>
      <c r="L29" s="81"/>
      <c r="M29" s="107"/>
    </row>
    <row r="30" spans="1:13" s="5" customFormat="1" ht="37.15" customHeight="1">
      <c r="A30" s="128" t="s">
        <v>253</v>
      </c>
      <c r="B30" s="82">
        <v>2023302070301</v>
      </c>
      <c r="C30" s="81" t="s">
        <v>339</v>
      </c>
      <c r="D30" s="59" t="s">
        <v>272</v>
      </c>
      <c r="E30" s="80" t="str">
        <f>D31</f>
        <v>COSTRUTTORI S.A. DE C.V.</v>
      </c>
      <c r="F30" s="82" t="s">
        <v>340</v>
      </c>
      <c r="G30" s="79">
        <v>45253</v>
      </c>
      <c r="H30" s="114">
        <v>2422800</v>
      </c>
      <c r="I30" s="105">
        <f>H30*1.16</f>
        <v>2810448</v>
      </c>
      <c r="J30" s="66" t="s">
        <v>251</v>
      </c>
      <c r="K30" s="61">
        <f>I30*0.3</f>
        <v>843134.4</v>
      </c>
      <c r="L30" s="106"/>
      <c r="M30" s="107"/>
    </row>
    <row r="31" spans="1:13" s="5" customFormat="1" ht="37.15" customHeight="1">
      <c r="A31" s="128"/>
      <c r="B31" s="80"/>
      <c r="C31" s="81"/>
      <c r="D31" s="59" t="s">
        <v>323</v>
      </c>
      <c r="E31" s="80"/>
      <c r="F31" s="82"/>
      <c r="G31" s="80"/>
      <c r="H31" s="114"/>
      <c r="I31" s="105"/>
      <c r="J31" s="66" t="s">
        <v>252</v>
      </c>
      <c r="K31" s="61">
        <f>H30*0.1</f>
        <v>242280</v>
      </c>
      <c r="L31" s="81"/>
      <c r="M31" s="107"/>
    </row>
    <row r="32" spans="1:13" s="5" customFormat="1" ht="37.15" customHeight="1">
      <c r="A32" s="128"/>
      <c r="B32" s="80"/>
      <c r="C32" s="81"/>
      <c r="D32" s="59" t="s">
        <v>322</v>
      </c>
      <c r="E32" s="80"/>
      <c r="F32" s="82"/>
      <c r="G32" s="80"/>
      <c r="H32" s="114"/>
      <c r="I32" s="105"/>
      <c r="J32" s="66" t="s">
        <v>254</v>
      </c>
      <c r="K32" s="61"/>
      <c r="L32" s="81"/>
      <c r="M32" s="107"/>
    </row>
    <row r="33" spans="1:13" s="5" customFormat="1" ht="37.15" customHeight="1">
      <c r="A33" s="125" t="s">
        <v>284</v>
      </c>
      <c r="B33" s="86">
        <v>2023302070042</v>
      </c>
      <c r="C33" s="108" t="s">
        <v>342</v>
      </c>
      <c r="D33" s="70"/>
      <c r="E33" s="83" t="s">
        <v>322</v>
      </c>
      <c r="F33" s="82" t="s">
        <v>341</v>
      </c>
      <c r="G33" s="79">
        <v>45254</v>
      </c>
      <c r="H33" s="114">
        <v>430000</v>
      </c>
      <c r="I33" s="105">
        <f>H33*1.16</f>
        <v>498799.99999999994</v>
      </c>
      <c r="J33" s="66" t="s">
        <v>251</v>
      </c>
      <c r="K33" s="61">
        <f>I33*0.3</f>
        <v>149639.99999999997</v>
      </c>
      <c r="L33" s="106"/>
      <c r="M33" s="107"/>
    </row>
    <row r="34" spans="1:13" s="5" customFormat="1" ht="37.15" customHeight="1">
      <c r="A34" s="126"/>
      <c r="B34" s="87"/>
      <c r="C34" s="109"/>
      <c r="D34" s="59" t="s">
        <v>322</v>
      </c>
      <c r="E34" s="84"/>
      <c r="F34" s="82"/>
      <c r="G34" s="80"/>
      <c r="H34" s="114"/>
      <c r="I34" s="105"/>
      <c r="J34" s="66" t="s">
        <v>252</v>
      </c>
      <c r="K34" s="61">
        <f>H33*0.1</f>
        <v>43000</v>
      </c>
      <c r="L34" s="81"/>
      <c r="M34" s="107"/>
    </row>
    <row r="35" spans="1:13" s="5" customFormat="1" ht="37.15" customHeight="1">
      <c r="A35" s="127"/>
      <c r="B35" s="88"/>
      <c r="C35" s="110"/>
      <c r="D35" s="70"/>
      <c r="E35" s="85"/>
      <c r="F35" s="82"/>
      <c r="G35" s="80"/>
      <c r="H35" s="114"/>
      <c r="I35" s="105"/>
      <c r="J35" s="66" t="s">
        <v>254</v>
      </c>
      <c r="K35" s="61"/>
      <c r="L35" s="81"/>
      <c r="M35" s="107"/>
    </row>
    <row r="36" spans="1:13" s="5" customFormat="1" ht="15.75" customHeight="1">
      <c r="A36" s="50"/>
      <c r="B36" s="51"/>
      <c r="C36" s="50"/>
      <c r="D36" s="52"/>
      <c r="E36" s="51"/>
      <c r="F36" s="53"/>
      <c r="G36" s="51"/>
      <c r="H36" s="54"/>
      <c r="I36" s="55"/>
      <c r="J36" s="56"/>
      <c r="K36" s="57"/>
      <c r="L36" s="50"/>
      <c r="M36" s="58"/>
    </row>
    <row r="37" spans="1:13" s="5" customFormat="1" ht="15.75" customHeight="1">
      <c r="A37" s="50"/>
      <c r="B37" s="51"/>
      <c r="C37" s="50"/>
      <c r="D37" s="52"/>
      <c r="E37" s="51"/>
      <c r="F37" s="53"/>
      <c r="G37" s="51"/>
      <c r="H37" s="54"/>
      <c r="I37" s="55"/>
      <c r="J37" s="56"/>
      <c r="K37" s="57"/>
      <c r="L37" s="50"/>
      <c r="M37" s="58"/>
    </row>
    <row r="38" spans="1:13" s="5" customFormat="1" ht="15.75" customHeight="1">
      <c r="A38" s="50"/>
      <c r="B38" s="51"/>
      <c r="C38" s="50"/>
      <c r="D38" s="52"/>
      <c r="E38" s="51"/>
      <c r="F38" s="53"/>
      <c r="G38" s="51"/>
      <c r="H38" s="54"/>
      <c r="I38" s="55"/>
      <c r="J38" s="56"/>
      <c r="K38" s="57"/>
      <c r="L38" s="50"/>
      <c r="M38" s="58"/>
    </row>
    <row r="39" spans="1:13" s="5" customFormat="1" ht="15.75" customHeight="1">
      <c r="A39" s="50"/>
      <c r="B39" s="51"/>
      <c r="C39" s="50"/>
      <c r="D39" s="52"/>
      <c r="E39" s="51"/>
      <c r="F39" s="53"/>
      <c r="G39" s="51"/>
      <c r="H39" s="54"/>
      <c r="I39" s="55"/>
      <c r="J39" s="56"/>
      <c r="K39" s="57"/>
      <c r="L39" s="50"/>
      <c r="M39" s="58"/>
    </row>
    <row r="40" spans="1:13" s="5" customFormat="1" ht="15.75" customHeight="1">
      <c r="A40" s="50"/>
      <c r="B40" s="51"/>
      <c r="C40" s="50"/>
      <c r="D40" s="52"/>
      <c r="E40" s="51"/>
      <c r="F40" s="53"/>
      <c r="G40" s="51"/>
      <c r="H40" s="54"/>
      <c r="I40" s="55"/>
      <c r="J40" s="56"/>
      <c r="K40" s="57"/>
      <c r="L40" s="50"/>
      <c r="M40" s="58"/>
    </row>
    <row r="41" spans="1:13" s="5" customFormat="1" ht="15.75" customHeight="1">
      <c r="A41" s="50"/>
      <c r="B41" s="51"/>
      <c r="C41" s="50"/>
      <c r="D41" s="52"/>
      <c r="E41" s="51"/>
      <c r="F41" s="53"/>
      <c r="G41" s="51"/>
      <c r="H41" s="54"/>
      <c r="I41" s="55"/>
      <c r="J41" s="56"/>
      <c r="K41" s="57"/>
      <c r="L41" s="50"/>
      <c r="M41" s="58"/>
    </row>
    <row r="42" spans="1:13" ht="15">
      <c r="K42"/>
    </row>
    <row r="43" spans="1:13" ht="15">
      <c r="K43"/>
    </row>
  </sheetData>
  <mergeCells count="104">
    <mergeCell ref="A1:M1"/>
    <mergeCell ref="A2:M2"/>
    <mergeCell ref="A3:M3"/>
    <mergeCell ref="J5:K5"/>
    <mergeCell ref="A6:A8"/>
    <mergeCell ref="B6:B8"/>
    <mergeCell ref="C6:C8"/>
    <mergeCell ref="E6:E8"/>
    <mergeCell ref="F6:F8"/>
    <mergeCell ref="G6:G8"/>
    <mergeCell ref="H6:H8"/>
    <mergeCell ref="I6:I8"/>
    <mergeCell ref="L6:L8"/>
    <mergeCell ref="M6:M8"/>
    <mergeCell ref="M9:M11"/>
    <mergeCell ref="A12:A14"/>
    <mergeCell ref="B12:B14"/>
    <mergeCell ref="C12:C14"/>
    <mergeCell ref="E12:E14"/>
    <mergeCell ref="F12:F14"/>
    <mergeCell ref="G12:G14"/>
    <mergeCell ref="H12:H14"/>
    <mergeCell ref="I12:I14"/>
    <mergeCell ref="L12:L14"/>
    <mergeCell ref="M12:M14"/>
    <mergeCell ref="A9:A11"/>
    <mergeCell ref="B9:B11"/>
    <mergeCell ref="C9:C11"/>
    <mergeCell ref="E9:E11"/>
    <mergeCell ref="F9:F11"/>
    <mergeCell ref="G9:G11"/>
    <mergeCell ref="H9:H11"/>
    <mergeCell ref="I9:I11"/>
    <mergeCell ref="L9:L11"/>
    <mergeCell ref="M15:M17"/>
    <mergeCell ref="A18:A20"/>
    <mergeCell ref="B18:B20"/>
    <mergeCell ref="C18:C20"/>
    <mergeCell ref="E18:E20"/>
    <mergeCell ref="F18:F20"/>
    <mergeCell ref="G18:G20"/>
    <mergeCell ref="H18:H20"/>
    <mergeCell ref="I18:I20"/>
    <mergeCell ref="L18:L20"/>
    <mergeCell ref="M18:M20"/>
    <mergeCell ref="A15:A17"/>
    <mergeCell ref="B15:B17"/>
    <mergeCell ref="C15:C17"/>
    <mergeCell ref="E15:E17"/>
    <mergeCell ref="F15:F17"/>
    <mergeCell ref="G15:G17"/>
    <mergeCell ref="H15:H17"/>
    <mergeCell ref="I15:I17"/>
    <mergeCell ref="L15:L17"/>
    <mergeCell ref="A21:A23"/>
    <mergeCell ref="B21:B23"/>
    <mergeCell ref="C21:C23"/>
    <mergeCell ref="E21:E23"/>
    <mergeCell ref="F21:F23"/>
    <mergeCell ref="G21:G23"/>
    <mergeCell ref="H21:H23"/>
    <mergeCell ref="I21:I23"/>
    <mergeCell ref="L21:L23"/>
    <mergeCell ref="M21:M23"/>
    <mergeCell ref="M33:M35"/>
    <mergeCell ref="G30:G32"/>
    <mergeCell ref="H30:H32"/>
    <mergeCell ref="I30:I32"/>
    <mergeCell ref="L30:L32"/>
    <mergeCell ref="M30:M32"/>
    <mergeCell ref="A24:A26"/>
    <mergeCell ref="B24:B26"/>
    <mergeCell ref="C24:C26"/>
    <mergeCell ref="E24:E26"/>
    <mergeCell ref="F24:F26"/>
    <mergeCell ref="G24:G26"/>
    <mergeCell ref="M27:M29"/>
    <mergeCell ref="A30:A32"/>
    <mergeCell ref="B30:B32"/>
    <mergeCell ref="C30:C32"/>
    <mergeCell ref="E30:E32"/>
    <mergeCell ref="F30:F32"/>
    <mergeCell ref="H24:H26"/>
    <mergeCell ref="I24:I26"/>
    <mergeCell ref="L24:L26"/>
    <mergeCell ref="M24:M26"/>
    <mergeCell ref="A27:A29"/>
    <mergeCell ref="A33:A35"/>
    <mergeCell ref="B33:B35"/>
    <mergeCell ref="C33:C35"/>
    <mergeCell ref="E33:E35"/>
    <mergeCell ref="F33:F35"/>
    <mergeCell ref="L27:L29"/>
    <mergeCell ref="G33:G35"/>
    <mergeCell ref="H33:H35"/>
    <mergeCell ref="I33:I35"/>
    <mergeCell ref="L33:L35"/>
    <mergeCell ref="B27:B29"/>
    <mergeCell ref="C27:C29"/>
    <mergeCell ref="E27:E29"/>
    <mergeCell ref="F27:F29"/>
    <mergeCell ref="G27:G29"/>
    <mergeCell ref="H27:H29"/>
    <mergeCell ref="I27:I29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M28"/>
  <sheetViews>
    <sheetView view="pageBreakPreview" topLeftCell="A6" zoomScale="92" zoomScaleNormal="90" zoomScaleSheetLayoutView="99" workbookViewId="0">
      <selection activeCell="D10" sqref="D10"/>
    </sheetView>
  </sheetViews>
  <sheetFormatPr baseColWidth="10" defaultColWidth="11.42578125" defaultRowHeight="12.75"/>
  <cols>
    <col min="1" max="1" width="16.28515625" style="1" customWidth="1"/>
    <col min="2" max="2" width="18" style="1" customWidth="1"/>
    <col min="3" max="3" width="24.28515625" style="1" customWidth="1"/>
    <col min="4" max="4" width="21.28515625" style="1" customWidth="1"/>
    <col min="5" max="5" width="17.85546875" style="1" customWidth="1"/>
    <col min="6" max="6" width="17.42578125" style="1" customWidth="1"/>
    <col min="7" max="7" width="10.42578125" style="1" customWidth="1"/>
    <col min="8" max="8" width="14" style="8" customWidth="1"/>
    <col min="9" max="9" width="16.28515625" style="9" customWidth="1"/>
    <col min="10" max="10" width="11.28515625" style="1" customWidth="1"/>
    <col min="11" max="11" width="12.5703125" style="8" customWidth="1"/>
    <col min="12" max="12" width="21.28515625" style="1" customWidth="1"/>
    <col min="13" max="13" width="13" style="1" customWidth="1"/>
    <col min="14" max="16384" width="11.42578125" style="1"/>
  </cols>
  <sheetData>
    <row r="1" spans="1:13" ht="18" customHeight="1">
      <c r="A1" s="111" t="s">
        <v>250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8" customHeight="1">
      <c r="A2" s="111" t="s">
        <v>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13" ht="18" customHeight="1">
      <c r="A3" s="111" t="s">
        <v>343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5" spans="1:13" s="3" customFormat="1" ht="45">
      <c r="A5" s="2" t="s">
        <v>0</v>
      </c>
      <c r="B5" s="2" t="s">
        <v>3</v>
      </c>
      <c r="C5" s="2" t="s">
        <v>12</v>
      </c>
      <c r="D5" s="2" t="s">
        <v>4</v>
      </c>
      <c r="E5" s="2" t="s">
        <v>10</v>
      </c>
      <c r="F5" s="2" t="s">
        <v>5</v>
      </c>
      <c r="G5" s="2" t="s">
        <v>1</v>
      </c>
      <c r="H5" s="7" t="s">
        <v>6</v>
      </c>
      <c r="I5" s="7" t="s">
        <v>7</v>
      </c>
      <c r="J5" s="112" t="s">
        <v>11</v>
      </c>
      <c r="K5" s="113"/>
      <c r="L5" s="2" t="s">
        <v>8</v>
      </c>
      <c r="M5" s="4" t="s">
        <v>2</v>
      </c>
    </row>
    <row r="6" spans="1:13" s="5" customFormat="1" ht="29.45" customHeight="1">
      <c r="A6" s="125" t="s">
        <v>253</v>
      </c>
      <c r="B6" s="86">
        <v>2023302070001</v>
      </c>
      <c r="C6" s="108" t="s">
        <v>344</v>
      </c>
      <c r="D6" s="59" t="s">
        <v>265</v>
      </c>
      <c r="E6" s="83" t="s">
        <v>347</v>
      </c>
      <c r="F6" s="86" t="s">
        <v>345</v>
      </c>
      <c r="G6" s="116">
        <v>45265</v>
      </c>
      <c r="H6" s="119">
        <v>1722550</v>
      </c>
      <c r="I6" s="92">
        <f>H6*1.16</f>
        <v>1998157.9999999998</v>
      </c>
      <c r="J6" s="65" t="s">
        <v>251</v>
      </c>
      <c r="K6" s="61">
        <v>0</v>
      </c>
      <c r="L6" s="95"/>
      <c r="M6" s="98"/>
    </row>
    <row r="7" spans="1:13" s="5" customFormat="1" ht="29.45" customHeight="1">
      <c r="A7" s="126"/>
      <c r="B7" s="87"/>
      <c r="C7" s="109"/>
      <c r="D7" s="51" t="s">
        <v>347</v>
      </c>
      <c r="E7" s="84"/>
      <c r="F7" s="87"/>
      <c r="G7" s="117"/>
      <c r="H7" s="120"/>
      <c r="I7" s="93"/>
      <c r="J7" s="66" t="s">
        <v>252</v>
      </c>
      <c r="K7" s="61">
        <f>H6*0.1</f>
        <v>172255</v>
      </c>
      <c r="L7" s="96"/>
      <c r="M7" s="99"/>
    </row>
    <row r="8" spans="1:13" s="5" customFormat="1" ht="34.15" customHeight="1">
      <c r="A8" s="127"/>
      <c r="B8" s="88"/>
      <c r="C8" s="110"/>
      <c r="D8" s="59" t="s">
        <v>258</v>
      </c>
      <c r="E8" s="85"/>
      <c r="F8" s="88"/>
      <c r="G8" s="118"/>
      <c r="H8" s="121"/>
      <c r="I8" s="94"/>
      <c r="J8" s="66" t="s">
        <v>254</v>
      </c>
      <c r="K8" s="61"/>
      <c r="L8" s="97"/>
      <c r="M8" s="100"/>
    </row>
    <row r="9" spans="1:13" s="5" customFormat="1" ht="31.9" customHeight="1">
      <c r="A9" s="128" t="s">
        <v>253</v>
      </c>
      <c r="B9" s="86">
        <v>2023302070130</v>
      </c>
      <c r="C9" s="81" t="s">
        <v>348</v>
      </c>
      <c r="D9" s="59" t="s">
        <v>355</v>
      </c>
      <c r="E9" s="80" t="s">
        <v>272</v>
      </c>
      <c r="F9" s="82" t="s">
        <v>349</v>
      </c>
      <c r="G9" s="79">
        <v>45265</v>
      </c>
      <c r="H9" s="115">
        <v>862000</v>
      </c>
      <c r="I9" s="105">
        <f>H9*1.16</f>
        <v>999919.99999999988</v>
      </c>
      <c r="J9" s="66" t="s">
        <v>251</v>
      </c>
      <c r="K9" s="61">
        <v>0</v>
      </c>
      <c r="L9" s="106"/>
      <c r="M9" s="107"/>
    </row>
    <row r="10" spans="1:13" s="5" customFormat="1" ht="31.9" customHeight="1">
      <c r="A10" s="128"/>
      <c r="B10" s="87"/>
      <c r="C10" s="81"/>
      <c r="D10" s="51" t="s">
        <v>272</v>
      </c>
      <c r="E10" s="80"/>
      <c r="F10" s="82"/>
      <c r="G10" s="80"/>
      <c r="H10" s="114"/>
      <c r="I10" s="105"/>
      <c r="J10" s="66" t="s">
        <v>252</v>
      </c>
      <c r="K10" s="61">
        <f>H9*0.1</f>
        <v>86200</v>
      </c>
      <c r="L10" s="81"/>
      <c r="M10" s="107"/>
    </row>
    <row r="11" spans="1:13" s="5" customFormat="1" ht="31.9" customHeight="1">
      <c r="A11" s="128"/>
      <c r="B11" s="88"/>
      <c r="C11" s="81"/>
      <c r="D11" s="59" t="s">
        <v>323</v>
      </c>
      <c r="E11" s="80"/>
      <c r="F11" s="82"/>
      <c r="G11" s="80"/>
      <c r="H11" s="114"/>
      <c r="I11" s="105"/>
      <c r="J11" s="66" t="s">
        <v>254</v>
      </c>
      <c r="K11" s="61"/>
      <c r="L11" s="81"/>
      <c r="M11" s="107"/>
    </row>
    <row r="12" spans="1:13" s="5" customFormat="1" ht="31.9" customHeight="1">
      <c r="A12" s="128" t="s">
        <v>253</v>
      </c>
      <c r="B12" s="86">
        <v>2023302070027</v>
      </c>
      <c r="C12" s="81" t="s">
        <v>350</v>
      </c>
      <c r="D12" s="59" t="s">
        <v>322</v>
      </c>
      <c r="E12" s="80" t="s">
        <v>255</v>
      </c>
      <c r="F12" s="82" t="s">
        <v>351</v>
      </c>
      <c r="G12" s="79">
        <v>45261</v>
      </c>
      <c r="H12" s="115">
        <v>860000</v>
      </c>
      <c r="I12" s="105">
        <f>H12*1.16</f>
        <v>997599.99999999988</v>
      </c>
      <c r="J12" s="66" t="s">
        <v>251</v>
      </c>
      <c r="K12" s="61">
        <f>I12*0.3</f>
        <v>299279.99999999994</v>
      </c>
      <c r="L12" s="106"/>
      <c r="M12" s="107"/>
    </row>
    <row r="13" spans="1:13" s="5" customFormat="1" ht="31.9" customHeight="1">
      <c r="A13" s="128"/>
      <c r="B13" s="87"/>
      <c r="C13" s="81"/>
      <c r="D13" s="51" t="s">
        <v>255</v>
      </c>
      <c r="E13" s="80"/>
      <c r="F13" s="82"/>
      <c r="G13" s="80"/>
      <c r="H13" s="114"/>
      <c r="I13" s="105"/>
      <c r="J13" s="66" t="s">
        <v>252</v>
      </c>
      <c r="K13" s="61">
        <f>H12*0.1</f>
        <v>86000</v>
      </c>
      <c r="L13" s="81"/>
      <c r="M13" s="107"/>
    </row>
    <row r="14" spans="1:13" s="5" customFormat="1" ht="31.9" customHeight="1">
      <c r="A14" s="128"/>
      <c r="B14" s="88"/>
      <c r="C14" s="81"/>
      <c r="D14" s="59" t="s">
        <v>300</v>
      </c>
      <c r="E14" s="80"/>
      <c r="F14" s="82"/>
      <c r="G14" s="80"/>
      <c r="H14" s="114"/>
      <c r="I14" s="105"/>
      <c r="J14" s="66" t="s">
        <v>254</v>
      </c>
      <c r="K14" s="61"/>
      <c r="L14" s="81"/>
      <c r="M14" s="107"/>
    </row>
    <row r="15" spans="1:13" s="5" customFormat="1" ht="31.9" customHeight="1">
      <c r="A15" s="128" t="s">
        <v>253</v>
      </c>
      <c r="B15" s="86">
        <v>2023302070040</v>
      </c>
      <c r="C15" s="81" t="s">
        <v>354</v>
      </c>
      <c r="D15" s="59" t="s">
        <v>309</v>
      </c>
      <c r="E15" s="80" t="s">
        <v>355</v>
      </c>
      <c r="F15" s="82" t="s">
        <v>352</v>
      </c>
      <c r="G15" s="79">
        <v>45264</v>
      </c>
      <c r="H15" s="115">
        <v>1825500</v>
      </c>
      <c r="I15" s="105">
        <f>H15*1.16</f>
        <v>2117580</v>
      </c>
      <c r="J15" s="66" t="s">
        <v>251</v>
      </c>
      <c r="K15" s="61">
        <f>I15*0.3</f>
        <v>635274</v>
      </c>
      <c r="L15" s="106"/>
      <c r="M15" s="107"/>
    </row>
    <row r="16" spans="1:13" s="5" customFormat="1" ht="31.9" customHeight="1">
      <c r="A16" s="128"/>
      <c r="B16" s="87"/>
      <c r="C16" s="81"/>
      <c r="D16" s="51" t="s">
        <v>355</v>
      </c>
      <c r="E16" s="80"/>
      <c r="F16" s="82"/>
      <c r="G16" s="80"/>
      <c r="H16" s="114"/>
      <c r="I16" s="105"/>
      <c r="J16" s="66" t="s">
        <v>252</v>
      </c>
      <c r="K16" s="61">
        <f>H15*0.1</f>
        <v>182550</v>
      </c>
      <c r="L16" s="81"/>
      <c r="M16" s="107"/>
    </row>
    <row r="17" spans="1:13" s="5" customFormat="1" ht="31.9" customHeight="1">
      <c r="A17" s="128"/>
      <c r="B17" s="88"/>
      <c r="C17" s="81"/>
      <c r="D17" s="59" t="s">
        <v>347</v>
      </c>
      <c r="E17" s="80"/>
      <c r="F17" s="82"/>
      <c r="G17" s="80"/>
      <c r="H17" s="114"/>
      <c r="I17" s="105"/>
      <c r="J17" s="66" t="s">
        <v>254</v>
      </c>
      <c r="K17" s="61"/>
      <c r="L17" s="81"/>
      <c r="M17" s="107"/>
    </row>
    <row r="18" spans="1:13" s="5" customFormat="1" ht="31.9" customHeight="1">
      <c r="A18" s="128" t="s">
        <v>253</v>
      </c>
      <c r="B18" s="86">
        <v>2023302070041</v>
      </c>
      <c r="C18" s="81" t="s">
        <v>356</v>
      </c>
      <c r="D18" s="59" t="s">
        <v>355</v>
      </c>
      <c r="E18" s="80" t="s">
        <v>359</v>
      </c>
      <c r="F18" s="82" t="s">
        <v>353</v>
      </c>
      <c r="G18" s="79">
        <v>45261</v>
      </c>
      <c r="H18" s="115">
        <v>1687500</v>
      </c>
      <c r="I18" s="105">
        <f>H18*1.16</f>
        <v>1957499.9999999998</v>
      </c>
      <c r="J18" s="66" t="s">
        <v>251</v>
      </c>
      <c r="K18" s="61">
        <f>I18*0.3</f>
        <v>587249.99999999988</v>
      </c>
      <c r="L18" s="106"/>
      <c r="M18" s="107"/>
    </row>
    <row r="19" spans="1:13" s="5" customFormat="1" ht="31.9" customHeight="1">
      <c r="A19" s="128"/>
      <c r="B19" s="87"/>
      <c r="C19" s="81"/>
      <c r="D19" s="51" t="s">
        <v>312</v>
      </c>
      <c r="E19" s="80"/>
      <c r="F19" s="82"/>
      <c r="G19" s="80"/>
      <c r="H19" s="114"/>
      <c r="I19" s="105"/>
      <c r="J19" s="66" t="s">
        <v>252</v>
      </c>
      <c r="K19" s="61">
        <f>H18*0.1</f>
        <v>168750</v>
      </c>
      <c r="L19" s="81"/>
      <c r="M19" s="107"/>
    </row>
    <row r="20" spans="1:13" s="5" customFormat="1" ht="31.9" customHeight="1">
      <c r="A20" s="128"/>
      <c r="B20" s="88"/>
      <c r="C20" s="81"/>
      <c r="D20" s="59" t="s">
        <v>258</v>
      </c>
      <c r="E20" s="80"/>
      <c r="F20" s="82"/>
      <c r="G20" s="80"/>
      <c r="H20" s="114"/>
      <c r="I20" s="105"/>
      <c r="J20" s="66" t="s">
        <v>254</v>
      </c>
      <c r="K20" s="61"/>
      <c r="L20" s="81"/>
      <c r="M20" s="107"/>
    </row>
    <row r="21" spans="1:13" s="5" customFormat="1" ht="15.75" customHeight="1">
      <c r="A21" s="50"/>
      <c r="B21" s="51"/>
      <c r="C21" s="50"/>
      <c r="D21" s="52"/>
      <c r="E21" s="51"/>
      <c r="F21" s="53"/>
      <c r="G21" s="51"/>
      <c r="H21" s="54"/>
      <c r="I21" s="55"/>
      <c r="J21" s="56"/>
      <c r="K21" s="57"/>
      <c r="L21" s="50"/>
      <c r="M21" s="58"/>
    </row>
    <row r="22" spans="1:13" s="5" customFormat="1" ht="15.75" customHeight="1">
      <c r="A22" s="50"/>
      <c r="B22" s="51"/>
      <c r="C22" s="50"/>
      <c r="D22" s="52"/>
      <c r="E22" s="51"/>
      <c r="F22" s="53"/>
      <c r="G22" s="51"/>
      <c r="H22" s="54"/>
      <c r="I22" s="55"/>
      <c r="J22" s="56"/>
      <c r="K22" s="57"/>
      <c r="L22" s="50"/>
      <c r="M22" s="58"/>
    </row>
    <row r="23" spans="1:13" s="5" customFormat="1" ht="15.75" customHeight="1">
      <c r="A23" s="50"/>
      <c r="B23" s="51"/>
      <c r="C23" s="50"/>
      <c r="D23" s="52"/>
      <c r="E23" s="51"/>
      <c r="F23" s="53"/>
      <c r="G23" s="51"/>
      <c r="H23" s="54"/>
      <c r="I23" s="55"/>
      <c r="J23" s="56"/>
      <c r="K23" s="57"/>
      <c r="L23" s="50"/>
      <c r="M23" s="58"/>
    </row>
    <row r="24" spans="1:13" s="5" customFormat="1" ht="15.75" customHeight="1">
      <c r="A24" s="50"/>
      <c r="B24" s="51"/>
      <c r="C24" s="50"/>
      <c r="D24" s="52"/>
      <c r="E24" s="51"/>
      <c r="F24" s="53"/>
      <c r="G24" s="51"/>
      <c r="H24" s="54"/>
      <c r="I24" s="55"/>
      <c r="J24" s="56"/>
      <c r="K24" s="57"/>
      <c r="L24" s="50"/>
      <c r="M24" s="58"/>
    </row>
    <row r="25" spans="1:13" s="5" customFormat="1" ht="15.75" customHeight="1">
      <c r="A25" s="50"/>
      <c r="B25" s="51"/>
      <c r="C25" s="50"/>
      <c r="D25" s="52"/>
      <c r="E25" s="51"/>
      <c r="F25" s="53"/>
      <c r="G25" s="51"/>
      <c r="H25" s="54"/>
      <c r="I25" s="55"/>
      <c r="J25" s="56"/>
      <c r="K25" s="57"/>
      <c r="L25" s="50"/>
      <c r="M25" s="58"/>
    </row>
    <row r="26" spans="1:13" s="5" customFormat="1" ht="15.75" customHeight="1">
      <c r="A26" s="50"/>
      <c r="B26" s="51"/>
      <c r="C26" s="50"/>
      <c r="D26" s="52"/>
      <c r="E26" s="51"/>
      <c r="F26" s="53"/>
      <c r="G26" s="51"/>
      <c r="H26" s="54"/>
      <c r="I26" s="55"/>
      <c r="J26" s="56"/>
      <c r="K26" s="57"/>
      <c r="L26" s="50"/>
      <c r="M26" s="58"/>
    </row>
    <row r="27" spans="1:13" ht="15">
      <c r="K27"/>
    </row>
    <row r="28" spans="1:13" ht="15">
      <c r="K28"/>
    </row>
  </sheetData>
  <mergeCells count="54">
    <mergeCell ref="I9:I11"/>
    <mergeCell ref="L9:L11"/>
    <mergeCell ref="M9:M11"/>
    <mergeCell ref="A9:A11"/>
    <mergeCell ref="B9:B11"/>
    <mergeCell ref="C9:C11"/>
    <mergeCell ref="E9:E11"/>
    <mergeCell ref="F9:F11"/>
    <mergeCell ref="G9:G11"/>
    <mergeCell ref="I6:I8"/>
    <mergeCell ref="L6:L8"/>
    <mergeCell ref="M6:M8"/>
    <mergeCell ref="A1:M1"/>
    <mergeCell ref="A2:M2"/>
    <mergeCell ref="A3:M3"/>
    <mergeCell ref="J5:K5"/>
    <mergeCell ref="A6:A8"/>
    <mergeCell ref="B6:B8"/>
    <mergeCell ref="C6:C8"/>
    <mergeCell ref="E6:E8"/>
    <mergeCell ref="F6:F8"/>
    <mergeCell ref="G6:G8"/>
    <mergeCell ref="A12:A14"/>
    <mergeCell ref="B12:B14"/>
    <mergeCell ref="E12:E14"/>
    <mergeCell ref="F12:F14"/>
    <mergeCell ref="H6:H8"/>
    <mergeCell ref="H9:H11"/>
    <mergeCell ref="M12:M14"/>
    <mergeCell ref="A15:A17"/>
    <mergeCell ref="B15:B17"/>
    <mergeCell ref="C15:C17"/>
    <mergeCell ref="E15:E17"/>
    <mergeCell ref="F15:F17"/>
    <mergeCell ref="G15:G17"/>
    <mergeCell ref="H15:H17"/>
    <mergeCell ref="I15:I17"/>
    <mergeCell ref="L15:L17"/>
    <mergeCell ref="M15:M17"/>
    <mergeCell ref="G12:G14"/>
    <mergeCell ref="H12:H14"/>
    <mergeCell ref="L12:L14"/>
    <mergeCell ref="C12:C14"/>
    <mergeCell ref="I12:I14"/>
    <mergeCell ref="A18:A20"/>
    <mergeCell ref="B18:B20"/>
    <mergeCell ref="C18:C20"/>
    <mergeCell ref="E18:E20"/>
    <mergeCell ref="F18:F20"/>
    <mergeCell ref="G18:G20"/>
    <mergeCell ref="H18:H20"/>
    <mergeCell ref="I18:I20"/>
    <mergeCell ref="L18:L20"/>
    <mergeCell ref="M18:M20"/>
  </mergeCells>
  <printOptions horizontalCentered="1"/>
  <pageMargins left="0.23622047244094491" right="0.23622047244094491" top="0.74803149606299213" bottom="0.74803149606299213" header="0.31496062992125984" footer="0.31496062992125984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15</vt:i4>
      </vt:variant>
    </vt:vector>
  </HeadingPairs>
  <TitlesOfParts>
    <vt:vector size="23" baseType="lpstr">
      <vt:lpstr>PADRON DE CONTRATISTA 2020</vt:lpstr>
      <vt:lpstr>FEBRERO</vt:lpstr>
      <vt:lpstr>ADJUDICACIONES JULIO</vt:lpstr>
      <vt:lpstr>ADJUDICACIONES AGOSTO</vt:lpstr>
      <vt:lpstr>ADJUDICACIONES SEPTIEMBRE</vt:lpstr>
      <vt:lpstr>ADJUDICACIONES OCTUBRE</vt:lpstr>
      <vt:lpstr>ADJUDICACIONES NOVIEMBRE</vt:lpstr>
      <vt:lpstr>ADJUDICACIONES DICIEMBRE</vt:lpstr>
      <vt:lpstr>'ADJUDICACIONES AGOSTO'!Área_de_impresión</vt:lpstr>
      <vt:lpstr>'ADJUDICACIONES DICIEMBRE'!Área_de_impresión</vt:lpstr>
      <vt:lpstr>'ADJUDICACIONES JULIO'!Área_de_impresión</vt:lpstr>
      <vt:lpstr>'ADJUDICACIONES NOVIEMBRE'!Área_de_impresión</vt:lpstr>
      <vt:lpstr>'ADJUDICACIONES OCTUBRE'!Área_de_impresión</vt:lpstr>
      <vt:lpstr>'ADJUDICACIONES SEPTIEMBRE'!Área_de_impresión</vt:lpstr>
      <vt:lpstr>FEBRERO!Área_de_impresión</vt:lpstr>
      <vt:lpstr>'ADJUDICACIONES AGOSTO'!Títulos_a_imprimir</vt:lpstr>
      <vt:lpstr>'ADJUDICACIONES DICIEMBRE'!Títulos_a_imprimir</vt:lpstr>
      <vt:lpstr>'ADJUDICACIONES JULIO'!Títulos_a_imprimir</vt:lpstr>
      <vt:lpstr>'ADJUDICACIONES NOVIEMBRE'!Títulos_a_imprimir</vt:lpstr>
      <vt:lpstr>'ADJUDICACIONES OCTUBRE'!Títulos_a_imprimir</vt:lpstr>
      <vt:lpstr>'ADJUDICACIONES SEPTIEMBRE'!Títulos_a_imprimir</vt:lpstr>
      <vt:lpstr>FEBRERO!Títulos_a_imprimir</vt:lpstr>
      <vt:lpstr>'PADRON DE CONTRATISTA 2020'!Títulos_a_imprimir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Eduardo Ortega Melgarejo</dc:creator>
  <cp:lastModifiedBy>pc</cp:lastModifiedBy>
  <cp:lastPrinted>2026-04-20T02:32:37Z</cp:lastPrinted>
  <dcterms:created xsi:type="dcterms:W3CDTF">2018-01-22T21:29:54Z</dcterms:created>
  <dcterms:modified xsi:type="dcterms:W3CDTF">2026-04-20T02:32:38Z</dcterms:modified>
</cp:coreProperties>
</file>